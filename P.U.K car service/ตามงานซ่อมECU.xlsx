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e\Desktop\P.U.K car service\"/>
    </mc:Choice>
  </mc:AlternateContent>
  <xr:revisionPtr revIDLastSave="0" documentId="13_ncr:1_{800152AD-9CAE-418F-B4CF-BBA7027D859D}" xr6:coauthVersionLast="47" xr6:coauthVersionMax="47" xr10:uidLastSave="{00000000-0000-0000-0000-000000000000}"/>
  <bookViews>
    <workbookView xWindow="4944" yWindow="3360" windowWidth="17280" windowHeight="8880" xr2:uid="{4AF45B31-5500-4107-853B-1533439F4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2" i="1" l="1"/>
  <c r="E191" i="1"/>
  <c r="E190" i="1"/>
  <c r="E189" i="1"/>
  <c r="J188" i="1"/>
  <c r="E188" i="1"/>
  <c r="J187" i="1"/>
  <c r="E187" i="1"/>
  <c r="J186" i="1"/>
  <c r="E186" i="1"/>
  <c r="J185" i="1"/>
  <c r="E185" i="1"/>
  <c r="J184" i="1"/>
  <c r="E184" i="1"/>
  <c r="J183" i="1"/>
  <c r="E183" i="1"/>
  <c r="J182" i="1"/>
  <c r="E182" i="1"/>
  <c r="J181" i="1"/>
  <c r="E181" i="1"/>
  <c r="E180" i="1"/>
  <c r="E179" i="1"/>
  <c r="E178" i="1"/>
  <c r="E177" i="1"/>
  <c r="E176" i="1"/>
  <c r="E175" i="1"/>
  <c r="E174" i="1"/>
  <c r="E173" i="1"/>
  <c r="E172" i="1"/>
  <c r="J161" i="1"/>
  <c r="J162" i="1"/>
  <c r="J163" i="1"/>
  <c r="J164" i="1"/>
  <c r="J165" i="1"/>
  <c r="E169" i="1"/>
  <c r="E168" i="1"/>
  <c r="J134" i="1"/>
  <c r="J133" i="1"/>
  <c r="J132" i="1"/>
  <c r="J131" i="1"/>
  <c r="J130" i="1"/>
  <c r="J129" i="1"/>
  <c r="J128" i="1"/>
  <c r="E167" i="1"/>
  <c r="E166" i="1"/>
  <c r="E165" i="1"/>
  <c r="E164" i="1"/>
  <c r="E163" i="1"/>
  <c r="E162" i="1"/>
  <c r="E161" i="1"/>
  <c r="J160" i="1"/>
  <c r="E160" i="1"/>
  <c r="J159" i="1"/>
  <c r="E159" i="1"/>
  <c r="J158" i="1"/>
  <c r="E158" i="1"/>
  <c r="E157" i="1"/>
  <c r="E156" i="1"/>
  <c r="E155" i="1"/>
  <c r="E154" i="1"/>
  <c r="E153" i="1"/>
  <c r="E152" i="1"/>
  <c r="E151" i="1"/>
  <c r="E150" i="1"/>
  <c r="E149" i="1"/>
  <c r="E146" i="1"/>
  <c r="E145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J101" i="1"/>
  <c r="J100" i="1"/>
  <c r="J99" i="1"/>
  <c r="J98" i="1"/>
  <c r="J97" i="1"/>
  <c r="J96" i="1"/>
  <c r="J95" i="1"/>
  <c r="E116" i="1"/>
  <c r="E115" i="1"/>
  <c r="E107" i="1"/>
  <c r="E106" i="1"/>
  <c r="E105" i="1"/>
  <c r="E104" i="1"/>
  <c r="E103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89" i="1"/>
  <c r="E88" i="1"/>
  <c r="E87" i="1"/>
  <c r="E86" i="1"/>
  <c r="J32" i="1"/>
  <c r="J31" i="1"/>
  <c r="J33" i="1"/>
  <c r="J34" i="1"/>
  <c r="J35" i="1"/>
  <c r="J36" i="1"/>
  <c r="J68" i="1"/>
  <c r="J69" i="1"/>
  <c r="J67" i="1"/>
  <c r="J66" i="1"/>
  <c r="J65" i="1"/>
  <c r="J6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45" i="1"/>
  <c r="E44" i="1"/>
  <c r="E43" i="1"/>
  <c r="E42" i="1"/>
  <c r="E41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6" i="1"/>
  <c r="J11" i="1"/>
  <c r="J12" i="1"/>
  <c r="J10" i="1"/>
  <c r="E14" i="1"/>
  <c r="E15" i="1"/>
  <c r="E16" i="1"/>
  <c r="E17" i="1"/>
  <c r="E18" i="1"/>
  <c r="E19" i="1"/>
  <c r="E13" i="1"/>
</calcChain>
</file>

<file path=xl/sharedStrings.xml><?xml version="1.0" encoding="utf-8"?>
<sst xmlns="http://schemas.openxmlformats.org/spreadsheetml/2006/main" count="543" uniqueCount="89">
  <si>
    <t>งานซ่อมบอร์ดECU</t>
  </si>
  <si>
    <t>วันที่</t>
  </si>
  <si>
    <t>ชื่อลูกค้า</t>
  </si>
  <si>
    <t>คิวที่ 13 (โอ๊ต)มงคลกิตติ</t>
  </si>
  <si>
    <t>คิวที่ 17 กล่องพวงมาลัยไฟฟ้า civic fb ปี2013</t>
  </si>
  <si>
    <t>รับงานซ่อมนี้มาวันที่</t>
  </si>
  <si>
    <t>งานซ่อมนี้ค้างมา(วัน)</t>
  </si>
  <si>
    <t>สถานะ</t>
  </si>
  <si>
    <t>ตรวจเช็ก</t>
  </si>
  <si>
    <t>กำลังซ่อม</t>
  </si>
  <si>
    <t>เสร็จแล้ว</t>
  </si>
  <si>
    <t>คิวที่3 (บูม) k. อำพัน วรรณบวร FB เที่ยวใต้ กันเถิด</t>
  </si>
  <si>
    <t>คิวที่6 (โอ๊ต) Chevrolet captiva07 k.คลองท่อมยางทอง FB โก้น้ำ</t>
  </si>
  <si>
    <t>คิวที่8 (กิฟ) k. เยาวเรศ/อู๊ด สาทิศ FB สาทิส สินธิพงศ์</t>
  </si>
  <si>
    <t>คิวที่ 11 (เจน) k.ธนวัฒน์ ฉัดพิมาย / FB ธนวัฒน์ ฉัดพิมาย</t>
  </si>
  <si>
    <t>คิวที่ 12 (จิว)k.Rintip Luangpitak</t>
  </si>
  <si>
    <t>คิวที่14(จิว) k.สุรเชษฐ์ มาสด้า บีที 50 ปี 2007</t>
  </si>
  <si>
    <t>คิวที่ 5 (โอ๊ต)Toyota kq k.บอล</t>
  </si>
  <si>
    <t>คิวที่ 8 (เจน)Hino innovato 300 atom ปี 2565 k.ผไท</t>
  </si>
  <si>
    <t>คิวที่14 (จิว) รถNissan k.phj</t>
  </si>
  <si>
    <t>คิวที่ 10(กิฟ) รถขุดคูโบต้า kx 165-5 k.ชัยมงคล</t>
  </si>
  <si>
    <t>รวมจำนวนปัจจุบัน</t>
  </si>
  <si>
    <t>จำนวน</t>
  </si>
  <si>
    <t>คิวที่ 19 (พี่ปิ๊ก) Isuzu ปี 2006-2007 k.กิตติยา</t>
  </si>
  <si>
    <t>คิวที่13 (จิว)Hyundai H1 k.วรเชษฐ์</t>
  </si>
  <si>
    <t>คิวที่18 (กิฟ)Toyota XG k.วัชระ/หน่อง</t>
  </si>
  <si>
    <t>คิวที่17 (บูม)Toyota k.วัฒนา</t>
  </si>
  <si>
    <t>คิวที่10 (จิว) k.ภูวดล บอร์ดเกียร์</t>
  </si>
  <si>
    <t>คิวที่ 4 (กิฟ)Hilux champ k. ชัยยศ กุลวราภรณ์ FB ซี โซลาเซลล์</t>
  </si>
  <si>
    <t>คิวที่ 5 (เจน)Honda civic EG 1992-1995 k. สุรวิทย์ ดอกพรมลา FB surawit</t>
  </si>
  <si>
    <t>งานแก้</t>
  </si>
  <si>
    <t>คิวที่ 2 k. บริษัท ออธอริตี้ คาร์ เซอร์วิส (งานแก้เดิม)</t>
  </si>
  <si>
    <t>คิวที่13 (โอ๊ต)lsuzu x-max ปั้มไฟฟ้า k.ประพันธ์</t>
  </si>
  <si>
    <t>คิวที่ 15 บูม (งานแก้)คุณ ธวัชชัย จันทร์สน</t>
  </si>
  <si>
    <t>คิวที่ 7 k. กริชชัย สุทธิ FB Kritchai Sutthi</t>
  </si>
  <si>
    <t>คิวที่ 19 "k.Nattapong Kttp กล่องรถวีโก้ปี05</t>
  </si>
  <si>
    <t>ว่าง</t>
  </si>
  <si>
    <t>รอมอสเฟด(กล่องฮุนไดเบอร์ BUK9608 55A 2ตัว)</t>
  </si>
  <si>
    <t>อะไหล่ที่กำลังรอซ่อม</t>
  </si>
  <si>
    <t>คิวที่ 20 กล่องพวงมาลัย civicfb k.fb.Apiwn promchot</t>
  </si>
  <si>
    <t>คิวที่ 21 MG 5 ปี22 รถจมน้ำ k.fb.Sakolwach Jssatien</t>
  </si>
  <si>
    <t>คิวที่20 Kia-Capico-39110-02JD0 M7.89 -K.จักรี</t>
  </si>
  <si>
    <t>คิวที่9 น้ำท่วม ลูกค้านำมาเอง</t>
  </si>
  <si>
    <t>คิวที่ 1 (จิว)รถไถไคโอติ76แรงเครื่องยนต์4สูบคอมมอลเร็ว                             k. จันทอน เข็มโคตร fb.จ้นเจา รถเกี่ยวนา</t>
  </si>
  <si>
    <t>ไม่ซ่อมต่อ</t>
  </si>
  <si>
    <t>คิวที่ 17 กล่องพวงมาลัยไฟฟ้า civic fb ปี2013 k.pitak lap-udom</t>
  </si>
  <si>
    <t>คำอธิบาย</t>
  </si>
  <si>
    <t>กำลังดำเนินการ</t>
  </si>
  <si>
    <t>ยังไม่ได้ทำอะไร</t>
  </si>
  <si>
    <t>ไม่ได้ส่งรีพอร์ต</t>
  </si>
  <si>
    <t>ส่งรีพอร์ตแล้ว</t>
  </si>
  <si>
    <r>
      <t>ไม่ได้ส่งรีพอร์ต,รอสั่งมอสเฟด(กล่องฮุนไดเบอร์ BUK9608 55A 2ตัว)</t>
    </r>
    <r>
      <rPr>
        <sz val="11"/>
        <color rgb="FF00B050"/>
        <rFont val="Calibri"/>
        <family val="2"/>
      </rPr>
      <t>,กำลังดำเนินการ</t>
    </r>
  </si>
  <si>
    <r>
      <t>ยังไม่ได้ส่งรีพอร์ตแล้ว,</t>
    </r>
    <r>
      <rPr>
        <sz val="11"/>
        <color rgb="FF00B050"/>
        <rFont val="Calibri"/>
        <family val="2"/>
      </rPr>
      <t>กำลังดำเนินการ</t>
    </r>
  </si>
  <si>
    <t>คิวที่ 22</t>
  </si>
  <si>
    <t>ปรึกษา</t>
  </si>
  <si>
    <t>คิวที่2(โอ๊ต) lsuzu x-max ปั้มไฟฟ้า k.ประพันธ์</t>
  </si>
  <si>
    <t>คิวที่ 1 (จิว)รถไถไคโอติ76แรงเครื่องยนต์4สูบคอมมอลเร็ว k. จันทอน เข็มโคตร fb.จ้นเจา รถเกี่ยวนา</t>
  </si>
  <si>
    <r>
      <t>ส่งใบประมาณการ,รอสั่งมอสเฟด(กล่องฮุนไดเบอร์ BUK9608 55A 2ตัว)</t>
    </r>
    <r>
      <rPr>
        <sz val="11"/>
        <color rgb="FF00B050"/>
        <rFont val="Calibri"/>
        <family val="2"/>
      </rPr>
      <t>,กำลังดำเนินการ</t>
    </r>
  </si>
  <si>
    <t>ติดปัญหา</t>
  </si>
  <si>
    <t>คิวที่ 20 (โอ๊ต)กล่องพวงมาลัย civicfb k.fb.Apiwn promchot</t>
  </si>
  <si>
    <r>
      <rPr>
        <sz val="11"/>
        <color rgb="FFFF0000"/>
        <rFont val="Calibri"/>
        <family val="2"/>
      </rPr>
      <t>ECUขาเบียด</t>
    </r>
    <r>
      <rPr>
        <sz val="11"/>
        <color rgb="FF00B050"/>
        <rFont val="Calibri"/>
        <family val="2"/>
      </rPr>
      <t>,กำลังดำเนินการ</t>
    </r>
  </si>
  <si>
    <t>ต้องการตำราหน้าปลั๊ก</t>
  </si>
  <si>
    <t>สั่งคาปาซิเตอร์</t>
  </si>
  <si>
    <t>ถอดตัวcapacitorสีฟ้าไม่ออก</t>
  </si>
  <si>
    <t>ถอดตัวDelayออกมาวัดไม่ได้</t>
  </si>
  <si>
    <t>โอ๊ต</t>
  </si>
  <si>
    <t>บูม</t>
  </si>
  <si>
    <t>กิฟ</t>
  </si>
  <si>
    <t>เจน</t>
  </si>
  <si>
    <t>จิว</t>
  </si>
  <si>
    <t>คิวที่ 22 รถตู้แวน จูรี่เครื่องเบนซินเกียร์ออโต้ k.กร ศิลปเสวตร์</t>
  </si>
  <si>
    <t>คิวที่ 21 (จิว,กิฟ)MG 5 ปี22 รถจมน้ำ k.fb.Sakolwach Jssatien</t>
  </si>
  <si>
    <t>คิวที่ 17 (กิฟ)กล่องพวงมาลัยไฟฟ้า civic fb ปี2013 k.pitak lap-udom</t>
  </si>
  <si>
    <t>ต้องการปรึกษา ว่าติดโค้ดไหม</t>
  </si>
  <si>
    <t>ปัญหาที่พบเจอไม่สามารถถอดรีเลย์ออกมาวัดได้ใช้ลมร้อนและหัวแร้งแล้วไม่ออก</t>
  </si>
  <si>
    <t>คาปาซิเตอร์80V1200uFขนาด18*25.6mm pitch=6.5mm 2 ตัว</t>
  </si>
  <si>
    <r>
      <t>ถอดตัวcapacitorสีฟ้าไม่ออก,</t>
    </r>
    <r>
      <rPr>
        <sz val="11"/>
        <color theme="1"/>
        <rFont val="Calibri"/>
        <family val="2"/>
      </rPr>
      <t>ส่งรีพอร์ตแล้ว</t>
    </r>
  </si>
  <si>
    <t>รอมัดจำ</t>
  </si>
  <si>
    <t>คาปาซิเตอร์63V1200uFขนาด18*26mm pitch=7.5mm 2 ตัว</t>
  </si>
  <si>
    <t>ยังไม่รู้ให้ทำอะไร</t>
  </si>
  <si>
    <t>มี6กล่องเหลือ4กล่องใช้มิเตอร์วัด</t>
  </si>
  <si>
    <t>ส่งไปต่อไปที่อู่อื่น</t>
  </si>
  <si>
    <r>
      <t>ต้องการตำราหน้าปลั๊ก,</t>
    </r>
    <r>
      <rPr>
        <sz val="11"/>
        <color theme="1"/>
        <rFont val="Calibri"/>
        <family val="2"/>
      </rPr>
      <t>ส่งรีพอร์ตแล้ว</t>
    </r>
    <r>
      <rPr>
        <sz val="11"/>
        <color rgb="FFFF0000"/>
        <rFont val="Calibri"/>
        <family val="2"/>
      </rPr>
      <t xml:space="preserve"> หน้าปลั๊กไม่มีIg,MREL</t>
    </r>
  </si>
  <si>
    <t>หน้าปลั๊กไม่IgกับW</t>
  </si>
  <si>
    <t>อาการพวงมาลัยหนัก ไม่เจอ eps scan,ต้องการปรึกษา ว่าติดโค้ดไหม</t>
  </si>
  <si>
    <t>คิวที่ 22 (จิว)รถตู้แวน จูรี่เครื่องเบนซินเกียร์ออโต้ k.กร ศิลปเสวตร์</t>
  </si>
  <si>
    <t>รออะไหร่พร้อมเปลี่ยน</t>
  </si>
  <si>
    <t>บอร์ดเจียรECU,กำลังเช็กไฟเข้าหน้าปั๊ก</t>
  </si>
  <si>
    <t>ส่งไปให้พี่ปิค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</si>
</sst>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/mm/yyyy;@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Tahoma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/>
    <xf numFmtId="187" fontId="1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6" fillId="0" borderId="0" xfId="0" applyFont="1"/>
    <xf numFmtId="0" fontId="1" fillId="3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640"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35A1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D35A17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00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35A17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theme="8" tint="0.39994506668294322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D35A17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35A17"/>
        </patternFill>
      </fill>
    </dxf>
    <dxf>
      <fill>
        <patternFill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D35A17"/>
        </patternFill>
      </fill>
    </dxf>
    <dxf>
      <fill>
        <patternFill>
          <bgColor theme="5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D35A1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D35A17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35A17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D35A17"/>
        </patternFill>
      </fill>
    </dxf>
    <dxf>
      <fill>
        <patternFill>
          <bgColor theme="5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D35A17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D35A17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D35A17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D35A17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fgColor rgb="FF00B0F0"/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00B0F0"/>
          <bgColor rgb="FF00B0F0"/>
        </patternFill>
      </fill>
    </dxf>
  </dxfs>
  <tableStyles count="0" defaultTableStyle="TableStyleMedium2" defaultPivotStyle="PivotStyleLight16"/>
  <colors>
    <mruColors>
      <color rgb="FFFF7C80"/>
      <color rgb="FFD35A17"/>
      <color rgb="FFEA7F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F4A7-A804-4256-9DB2-EE43AB2D580A}">
  <dimension ref="B1:K193"/>
  <sheetViews>
    <sheetView tabSelected="1" topLeftCell="A170" zoomScale="70" zoomScaleNormal="70" workbookViewId="0">
      <selection activeCell="G184" sqref="G184"/>
    </sheetView>
  </sheetViews>
  <sheetFormatPr defaultRowHeight="14.4" x14ac:dyDescent="0.3"/>
  <cols>
    <col min="1" max="1" width="8.796875" style="1"/>
    <col min="2" max="2" width="11.796875" style="1" customWidth="1"/>
    <col min="3" max="3" width="49" style="1" customWidth="1"/>
    <col min="4" max="4" width="15.5" style="1" customWidth="1"/>
    <col min="5" max="5" width="15.8984375" style="1" customWidth="1"/>
    <col min="6" max="6" width="8.69921875" style="1" customWidth="1"/>
    <col min="7" max="7" width="65.3984375" style="1" customWidth="1"/>
    <col min="8" max="16384" width="8.796875" style="1"/>
  </cols>
  <sheetData>
    <row r="1" spans="2:10" x14ac:dyDescent="0.3">
      <c r="D1" s="2"/>
    </row>
    <row r="2" spans="2:10" x14ac:dyDescent="0.3">
      <c r="B2" s="21" t="s">
        <v>0</v>
      </c>
      <c r="C2" s="21"/>
      <c r="D2" s="2"/>
    </row>
    <row r="3" spans="2:10" x14ac:dyDescent="0.3">
      <c r="B3" s="3"/>
    </row>
    <row r="4" spans="2:10" x14ac:dyDescent="0.3">
      <c r="B4" s="8" t="s">
        <v>1</v>
      </c>
      <c r="C4" s="8" t="s">
        <v>2</v>
      </c>
      <c r="D4" s="8" t="s">
        <v>5</v>
      </c>
      <c r="E4" s="8" t="s">
        <v>6</v>
      </c>
      <c r="F4" s="8" t="s">
        <v>7</v>
      </c>
    </row>
    <row r="5" spans="2:10" x14ac:dyDescent="0.3">
      <c r="B5" s="5">
        <v>46252</v>
      </c>
      <c r="C5" s="1" t="s">
        <v>3</v>
      </c>
      <c r="D5" s="5">
        <v>46237</v>
      </c>
      <c r="E5" s="3">
        <v>15</v>
      </c>
      <c r="F5" s="7" t="s">
        <v>8</v>
      </c>
    </row>
    <row r="6" spans="2:10" x14ac:dyDescent="0.3">
      <c r="C6" s="1" t="s">
        <v>4</v>
      </c>
      <c r="D6" s="5">
        <v>46247</v>
      </c>
      <c r="E6" s="3">
        <v>5</v>
      </c>
      <c r="F6" s="6" t="s">
        <v>8</v>
      </c>
    </row>
    <row r="7" spans="2:10" x14ac:dyDescent="0.3">
      <c r="C7" s="1" t="s">
        <v>11</v>
      </c>
      <c r="D7" s="5">
        <v>46227</v>
      </c>
      <c r="E7" s="3">
        <v>25</v>
      </c>
      <c r="F7" s="6" t="s">
        <v>8</v>
      </c>
    </row>
    <row r="8" spans="2:10" x14ac:dyDescent="0.3">
      <c r="C8" s="1" t="s">
        <v>12</v>
      </c>
      <c r="D8" s="5">
        <v>46225</v>
      </c>
      <c r="E8" s="3">
        <v>27</v>
      </c>
      <c r="F8" s="6" t="s">
        <v>8</v>
      </c>
      <c r="I8" s="20" t="s">
        <v>21</v>
      </c>
      <c r="J8" s="20"/>
    </row>
    <row r="9" spans="2:10" x14ac:dyDescent="0.3">
      <c r="C9" s="1" t="s">
        <v>13</v>
      </c>
      <c r="D9" s="5">
        <v>46227</v>
      </c>
      <c r="E9" s="3">
        <v>25</v>
      </c>
      <c r="F9" s="6" t="s">
        <v>8</v>
      </c>
      <c r="I9" s="1" t="s">
        <v>7</v>
      </c>
      <c r="J9" s="3" t="s">
        <v>22</v>
      </c>
    </row>
    <row r="10" spans="2:10" x14ac:dyDescent="0.3">
      <c r="C10" s="1" t="s">
        <v>14</v>
      </c>
      <c r="D10" s="5">
        <v>46228</v>
      </c>
      <c r="E10" s="3">
        <v>24</v>
      </c>
      <c r="F10" s="6" t="s">
        <v>8</v>
      </c>
      <c r="I10" s="6" t="s">
        <v>8</v>
      </c>
      <c r="J10" s="3">
        <f>COUNTIF(F5:F23,"ตรวจเช็ก")</f>
        <v>8</v>
      </c>
    </row>
    <row r="11" spans="2:10" x14ac:dyDescent="0.3">
      <c r="C11" s="1" t="s">
        <v>15</v>
      </c>
      <c r="D11" s="5">
        <v>46229</v>
      </c>
      <c r="E11" s="3">
        <v>23</v>
      </c>
      <c r="F11" s="6" t="s">
        <v>8</v>
      </c>
      <c r="H11" s="4"/>
      <c r="I11" s="6" t="s">
        <v>9</v>
      </c>
      <c r="J11" s="3">
        <f>COUNTIF(F5:F23,"กำลังซ่อม")</f>
        <v>7</v>
      </c>
    </row>
    <row r="12" spans="2:10" x14ac:dyDescent="0.3">
      <c r="C12" s="1" t="s">
        <v>16</v>
      </c>
      <c r="D12" s="5">
        <v>46239</v>
      </c>
      <c r="E12" s="3">
        <v>13</v>
      </c>
      <c r="F12" s="6" t="s">
        <v>8</v>
      </c>
      <c r="H12" s="4"/>
      <c r="I12" s="6" t="s">
        <v>10</v>
      </c>
      <c r="J12" s="3">
        <f>COUNTIF(F5:F23,"เสร็จแล้ว")</f>
        <v>4</v>
      </c>
    </row>
    <row r="13" spans="2:10" x14ac:dyDescent="0.3">
      <c r="C13" s="1" t="s">
        <v>23</v>
      </c>
      <c r="D13" s="5">
        <v>46213</v>
      </c>
      <c r="E13" s="3">
        <f ca="1">TODAY()-D13</f>
        <v>57</v>
      </c>
      <c r="F13" s="6" t="s">
        <v>9</v>
      </c>
      <c r="H13" s="4"/>
    </row>
    <row r="14" spans="2:10" x14ac:dyDescent="0.3">
      <c r="C14" s="1" t="s">
        <v>24</v>
      </c>
      <c r="D14" s="5">
        <v>46214</v>
      </c>
      <c r="E14" s="3">
        <f t="shared" ref="E14:E19" ca="1" si="0">TODAY()-D14</f>
        <v>56</v>
      </c>
      <c r="F14" s="6" t="s">
        <v>9</v>
      </c>
    </row>
    <row r="15" spans="2:10" x14ac:dyDescent="0.3">
      <c r="C15" s="1" t="s">
        <v>25</v>
      </c>
      <c r="D15" s="5">
        <v>46214</v>
      </c>
      <c r="E15" s="3">
        <f t="shared" ca="1" si="0"/>
        <v>56</v>
      </c>
      <c r="F15" s="6" t="s">
        <v>9</v>
      </c>
    </row>
    <row r="16" spans="2:10" x14ac:dyDescent="0.3">
      <c r="C16" s="1" t="s">
        <v>26</v>
      </c>
      <c r="D16" s="5">
        <v>46214</v>
      </c>
      <c r="E16" s="3">
        <f t="shared" ca="1" si="0"/>
        <v>56</v>
      </c>
      <c r="F16" s="6" t="s">
        <v>9</v>
      </c>
    </row>
    <row r="17" spans="2:10" x14ac:dyDescent="0.3">
      <c r="C17" s="1" t="s">
        <v>27</v>
      </c>
      <c r="D17" s="5">
        <v>46227</v>
      </c>
      <c r="E17" s="3">
        <f t="shared" ca="1" si="0"/>
        <v>43</v>
      </c>
      <c r="F17" s="6" t="s">
        <v>9</v>
      </c>
    </row>
    <row r="18" spans="2:10" x14ac:dyDescent="0.3">
      <c r="C18" s="1" t="s">
        <v>28</v>
      </c>
      <c r="D18" s="5">
        <v>46226</v>
      </c>
      <c r="E18" s="3">
        <f t="shared" ca="1" si="0"/>
        <v>44</v>
      </c>
      <c r="F18" s="6" t="s">
        <v>9</v>
      </c>
    </row>
    <row r="19" spans="2:10" x14ac:dyDescent="0.3">
      <c r="B19" s="5"/>
      <c r="C19" s="1" t="s">
        <v>29</v>
      </c>
      <c r="D19" s="5">
        <v>46227</v>
      </c>
      <c r="E19" s="3">
        <f t="shared" ca="1" si="0"/>
        <v>43</v>
      </c>
      <c r="F19" s="6" t="s">
        <v>9</v>
      </c>
    </row>
    <row r="20" spans="2:10" x14ac:dyDescent="0.3">
      <c r="C20" s="1" t="s">
        <v>17</v>
      </c>
      <c r="D20" s="5">
        <v>46215</v>
      </c>
      <c r="E20" s="3">
        <v>0</v>
      </c>
      <c r="F20" s="6" t="s">
        <v>10</v>
      </c>
    </row>
    <row r="21" spans="2:10" x14ac:dyDescent="0.3">
      <c r="C21" s="1" t="s">
        <v>18</v>
      </c>
      <c r="D21" s="5">
        <v>46215</v>
      </c>
      <c r="E21" s="3">
        <v>0</v>
      </c>
      <c r="F21" s="6" t="s">
        <v>10</v>
      </c>
    </row>
    <row r="22" spans="2:10" x14ac:dyDescent="0.3">
      <c r="C22" s="1" t="s">
        <v>19</v>
      </c>
      <c r="D22" s="5">
        <v>46214</v>
      </c>
      <c r="E22" s="3">
        <v>0</v>
      </c>
      <c r="F22" s="6" t="s">
        <v>10</v>
      </c>
    </row>
    <row r="23" spans="2:10" x14ac:dyDescent="0.3">
      <c r="C23" s="1" t="s">
        <v>20</v>
      </c>
      <c r="D23" s="5">
        <v>46215</v>
      </c>
      <c r="E23" s="3">
        <v>0</v>
      </c>
      <c r="F23" s="6" t="s">
        <v>10</v>
      </c>
    </row>
    <row r="25" spans="2:10" x14ac:dyDescent="0.3">
      <c r="B25" s="8" t="s">
        <v>1</v>
      </c>
      <c r="C25" s="8" t="s">
        <v>2</v>
      </c>
      <c r="D25" s="8" t="s">
        <v>5</v>
      </c>
      <c r="E25" s="8" t="s">
        <v>6</v>
      </c>
      <c r="F25" s="8" t="s">
        <v>7</v>
      </c>
      <c r="G25" s="9" t="s">
        <v>38</v>
      </c>
    </row>
    <row r="26" spans="2:10" x14ac:dyDescent="0.3">
      <c r="B26" s="5">
        <v>46253</v>
      </c>
      <c r="C26" s="1" t="s">
        <v>3</v>
      </c>
      <c r="D26" s="5">
        <v>46237</v>
      </c>
      <c r="E26" s="3">
        <f ca="1">TODAY()-D26</f>
        <v>33</v>
      </c>
      <c r="F26" s="7" t="s">
        <v>36</v>
      </c>
    </row>
    <row r="27" spans="2:10" x14ac:dyDescent="0.3">
      <c r="C27" s="1" t="s">
        <v>4</v>
      </c>
      <c r="D27" s="5">
        <v>46247</v>
      </c>
      <c r="E27" s="3">
        <f t="shared" ref="E27:E45" ca="1" si="1">TODAY()-D27</f>
        <v>23</v>
      </c>
      <c r="F27" s="6" t="s">
        <v>36</v>
      </c>
    </row>
    <row r="28" spans="2:10" x14ac:dyDescent="0.3">
      <c r="C28" s="1" t="s">
        <v>11</v>
      </c>
      <c r="D28" s="5">
        <v>46227</v>
      </c>
      <c r="E28" s="3">
        <f t="shared" ca="1" si="1"/>
        <v>43</v>
      </c>
      <c r="F28" s="6" t="s">
        <v>8</v>
      </c>
    </row>
    <row r="29" spans="2:10" x14ac:dyDescent="0.3">
      <c r="C29" s="1" t="s">
        <v>12</v>
      </c>
      <c r="D29" s="5">
        <v>46225</v>
      </c>
      <c r="E29" s="3">
        <f t="shared" ca="1" si="1"/>
        <v>45</v>
      </c>
      <c r="F29" s="6" t="s">
        <v>8</v>
      </c>
      <c r="I29" s="20" t="s">
        <v>21</v>
      </c>
      <c r="J29" s="20"/>
    </row>
    <row r="30" spans="2:10" x14ac:dyDescent="0.3">
      <c r="C30" s="1" t="s">
        <v>13</v>
      </c>
      <c r="D30" s="5">
        <v>46227</v>
      </c>
      <c r="E30" s="3">
        <f t="shared" ca="1" si="1"/>
        <v>43</v>
      </c>
      <c r="F30" s="6" t="s">
        <v>8</v>
      </c>
      <c r="I30" s="1" t="s">
        <v>7</v>
      </c>
      <c r="J30" s="3" t="s">
        <v>22</v>
      </c>
    </row>
    <row r="31" spans="2:10" x14ac:dyDescent="0.3">
      <c r="C31" s="1" t="s">
        <v>14</v>
      </c>
      <c r="D31" s="5">
        <v>46228</v>
      </c>
      <c r="E31" s="3">
        <f t="shared" ca="1" si="1"/>
        <v>42</v>
      </c>
      <c r="F31" s="6" t="s">
        <v>8</v>
      </c>
      <c r="I31" s="6" t="s">
        <v>36</v>
      </c>
      <c r="J31" s="3">
        <f>COUNTIF(F26:F52,I31)</f>
        <v>2</v>
      </c>
    </row>
    <row r="32" spans="2:10" x14ac:dyDescent="0.3">
      <c r="C32" s="1" t="s">
        <v>15</v>
      </c>
      <c r="D32" s="5">
        <v>46229</v>
      </c>
      <c r="E32" s="3">
        <f t="shared" ca="1" si="1"/>
        <v>41</v>
      </c>
      <c r="F32" s="6" t="s">
        <v>8</v>
      </c>
      <c r="H32" s="4"/>
      <c r="I32" s="6" t="s">
        <v>8</v>
      </c>
      <c r="J32" s="3">
        <f>COUNTIF(F26:F52,I32)</f>
        <v>6</v>
      </c>
    </row>
    <row r="33" spans="2:10" x14ac:dyDescent="0.3">
      <c r="C33" s="1" t="s">
        <v>16</v>
      </c>
      <c r="D33" s="5">
        <v>46239</v>
      </c>
      <c r="E33" s="3">
        <f t="shared" ca="1" si="1"/>
        <v>31</v>
      </c>
      <c r="F33" s="6" t="s">
        <v>8</v>
      </c>
      <c r="H33" s="4"/>
      <c r="I33" s="6" t="s">
        <v>9</v>
      </c>
      <c r="J33" s="3">
        <f>COUNTIF(F26:F52,I33)</f>
        <v>7</v>
      </c>
    </row>
    <row r="34" spans="2:10" x14ac:dyDescent="0.3">
      <c r="C34" s="1" t="s">
        <v>23</v>
      </c>
      <c r="D34" s="5">
        <v>46213</v>
      </c>
      <c r="E34" s="3">
        <f t="shared" ca="1" si="1"/>
        <v>57</v>
      </c>
      <c r="F34" s="6" t="s">
        <v>9</v>
      </c>
      <c r="H34" s="4"/>
      <c r="I34" s="6" t="s">
        <v>10</v>
      </c>
      <c r="J34" s="3">
        <f>COUNTIF(F26:F52,I34)</f>
        <v>4</v>
      </c>
    </row>
    <row r="35" spans="2:10" x14ac:dyDescent="0.3">
      <c r="C35" s="1" t="s">
        <v>24</v>
      </c>
      <c r="D35" s="5">
        <v>46214</v>
      </c>
      <c r="E35" s="3">
        <f t="shared" ca="1" si="1"/>
        <v>56</v>
      </c>
      <c r="F35" s="6" t="s">
        <v>9</v>
      </c>
      <c r="G35" s="10" t="s">
        <v>37</v>
      </c>
      <c r="I35" s="6" t="s">
        <v>30</v>
      </c>
      <c r="J35" s="3">
        <f>COUNTIF(F26:F52,I35)</f>
        <v>5</v>
      </c>
    </row>
    <row r="36" spans="2:10" x14ac:dyDescent="0.3">
      <c r="C36" s="1" t="s">
        <v>25</v>
      </c>
      <c r="D36" s="5">
        <v>46214</v>
      </c>
      <c r="E36" s="3">
        <f t="shared" ca="1" si="1"/>
        <v>56</v>
      </c>
      <c r="F36" s="6" t="s">
        <v>9</v>
      </c>
      <c r="I36" s="6" t="s">
        <v>44</v>
      </c>
      <c r="J36" s="3">
        <f>COUNTIF(F26:F52,I36)</f>
        <v>3</v>
      </c>
    </row>
    <row r="37" spans="2:10" x14ac:dyDescent="0.3">
      <c r="C37" s="1" t="s">
        <v>26</v>
      </c>
      <c r="D37" s="5">
        <v>46214</v>
      </c>
      <c r="E37" s="3">
        <f t="shared" ca="1" si="1"/>
        <v>56</v>
      </c>
      <c r="F37" s="6" t="s">
        <v>9</v>
      </c>
    </row>
    <row r="38" spans="2:10" x14ac:dyDescent="0.3">
      <c r="C38" s="1" t="s">
        <v>27</v>
      </c>
      <c r="D38" s="5">
        <v>46227</v>
      </c>
      <c r="E38" s="3">
        <f t="shared" ca="1" si="1"/>
        <v>43</v>
      </c>
      <c r="F38" s="6" t="s">
        <v>9</v>
      </c>
    </row>
    <row r="39" spans="2:10" x14ac:dyDescent="0.3">
      <c r="C39" s="1" t="s">
        <v>28</v>
      </c>
      <c r="D39" s="5">
        <v>46226</v>
      </c>
      <c r="E39" s="3">
        <f t="shared" ca="1" si="1"/>
        <v>44</v>
      </c>
      <c r="F39" s="6" t="s">
        <v>9</v>
      </c>
    </row>
    <row r="40" spans="2:10" x14ac:dyDescent="0.3">
      <c r="B40" s="5"/>
      <c r="C40" s="1" t="s">
        <v>29</v>
      </c>
      <c r="D40" s="5">
        <v>46227</v>
      </c>
      <c r="E40" s="3">
        <f t="shared" ca="1" si="1"/>
        <v>43</v>
      </c>
      <c r="F40" s="6" t="s">
        <v>9</v>
      </c>
    </row>
    <row r="41" spans="2:10" x14ac:dyDescent="0.3">
      <c r="C41" s="1" t="s">
        <v>31</v>
      </c>
      <c r="D41" s="5">
        <v>46253</v>
      </c>
      <c r="E41" s="3">
        <f t="shared" ca="1" si="1"/>
        <v>17</v>
      </c>
      <c r="F41" s="6" t="s">
        <v>30</v>
      </c>
      <c r="J41" s="3"/>
    </row>
    <row r="42" spans="2:10" x14ac:dyDescent="0.3">
      <c r="C42" s="1" t="s">
        <v>32</v>
      </c>
      <c r="D42" s="5">
        <v>46214</v>
      </c>
      <c r="E42" s="3">
        <f t="shared" ca="1" si="1"/>
        <v>56</v>
      </c>
      <c r="F42" s="6" t="s">
        <v>30</v>
      </c>
      <c r="G42" s="4"/>
      <c r="J42" s="3"/>
    </row>
    <row r="43" spans="2:10" x14ac:dyDescent="0.3">
      <c r="C43" s="1" t="s">
        <v>33</v>
      </c>
      <c r="D43" s="5">
        <v>46253</v>
      </c>
      <c r="E43" s="3">
        <f t="shared" ca="1" si="1"/>
        <v>17</v>
      </c>
      <c r="F43" s="6" t="s">
        <v>30</v>
      </c>
      <c r="G43" s="4"/>
      <c r="J43" s="3"/>
    </row>
    <row r="44" spans="2:10" x14ac:dyDescent="0.3">
      <c r="C44" s="1" t="s">
        <v>34</v>
      </c>
      <c r="D44" s="5">
        <v>46227</v>
      </c>
      <c r="E44" s="3">
        <f t="shared" ca="1" si="1"/>
        <v>43</v>
      </c>
      <c r="F44" s="6" t="s">
        <v>30</v>
      </c>
      <c r="G44" s="4"/>
    </row>
    <row r="45" spans="2:10" x14ac:dyDescent="0.3">
      <c r="C45" s="1" t="s">
        <v>35</v>
      </c>
      <c r="D45" s="5">
        <v>46251</v>
      </c>
      <c r="E45" s="3">
        <f t="shared" ca="1" si="1"/>
        <v>19</v>
      </c>
      <c r="F45" s="6" t="s">
        <v>30</v>
      </c>
    </row>
    <row r="46" spans="2:10" x14ac:dyDescent="0.3">
      <c r="C46" s="1" t="s">
        <v>17</v>
      </c>
      <c r="D46" s="5">
        <v>46215</v>
      </c>
      <c r="E46" s="3">
        <v>0</v>
      </c>
      <c r="F46" s="6" t="s">
        <v>10</v>
      </c>
    </row>
    <row r="47" spans="2:10" x14ac:dyDescent="0.3">
      <c r="C47" s="1" t="s">
        <v>18</v>
      </c>
      <c r="D47" s="5">
        <v>46215</v>
      </c>
      <c r="E47" s="3">
        <v>0</v>
      </c>
      <c r="F47" s="6" t="s">
        <v>10</v>
      </c>
      <c r="G47" s="11"/>
    </row>
    <row r="48" spans="2:10" x14ac:dyDescent="0.3">
      <c r="B48" s="5"/>
      <c r="C48" s="1" t="s">
        <v>19</v>
      </c>
      <c r="D48" s="5">
        <v>46214</v>
      </c>
      <c r="E48" s="3">
        <v>0</v>
      </c>
      <c r="F48" s="6" t="s">
        <v>10</v>
      </c>
    </row>
    <row r="49" spans="2:11" x14ac:dyDescent="0.3">
      <c r="C49" s="1" t="s">
        <v>20</v>
      </c>
      <c r="D49" s="5">
        <v>46215</v>
      </c>
      <c r="E49" s="3">
        <v>0</v>
      </c>
      <c r="F49" s="6" t="s">
        <v>10</v>
      </c>
    </row>
    <row r="50" spans="2:11" x14ac:dyDescent="0.3">
      <c r="C50" s="1" t="s">
        <v>41</v>
      </c>
      <c r="D50" s="5">
        <v>46213</v>
      </c>
      <c r="E50" s="3">
        <v>0</v>
      </c>
      <c r="F50" s="6" t="s">
        <v>44</v>
      </c>
    </row>
    <row r="51" spans="2:11" x14ac:dyDescent="0.3">
      <c r="C51" s="1" t="s">
        <v>42</v>
      </c>
      <c r="D51" s="5">
        <v>46227</v>
      </c>
      <c r="E51" s="3">
        <v>0</v>
      </c>
      <c r="F51" s="6" t="s">
        <v>44</v>
      </c>
      <c r="G51" s="11"/>
    </row>
    <row r="52" spans="2:11" x14ac:dyDescent="0.3">
      <c r="B52" s="5"/>
      <c r="C52" s="1" t="s">
        <v>43</v>
      </c>
      <c r="D52" s="5">
        <v>46226</v>
      </c>
      <c r="E52" s="3">
        <v>0</v>
      </c>
      <c r="F52" s="6" t="s">
        <v>44</v>
      </c>
    </row>
    <row r="53" spans="2:11" x14ac:dyDescent="0.3">
      <c r="D53" s="5"/>
      <c r="E53" s="3"/>
      <c r="F53" s="12"/>
    </row>
    <row r="54" spans="2:11" x14ac:dyDescent="0.3">
      <c r="B54" s="8" t="s">
        <v>1</v>
      </c>
      <c r="C54" s="8" t="s">
        <v>2</v>
      </c>
      <c r="D54" s="8" t="s">
        <v>5</v>
      </c>
      <c r="E54" s="8" t="s">
        <v>6</v>
      </c>
      <c r="F54" s="8" t="s">
        <v>7</v>
      </c>
      <c r="G54" s="13" t="s">
        <v>46</v>
      </c>
      <c r="I54" s="20"/>
      <c r="J54" s="20"/>
    </row>
    <row r="55" spans="2:11" x14ac:dyDescent="0.3">
      <c r="B55" s="5">
        <v>46257</v>
      </c>
      <c r="C55" s="14" t="s">
        <v>3</v>
      </c>
      <c r="D55" s="5">
        <v>46237</v>
      </c>
      <c r="E55" s="3">
        <f ca="1">TODAY()-D55</f>
        <v>33</v>
      </c>
      <c r="F55" s="7" t="s">
        <v>36</v>
      </c>
      <c r="G55" s="1" t="s">
        <v>48</v>
      </c>
      <c r="H55" s="1">
        <v>1</v>
      </c>
      <c r="J55" s="3"/>
    </row>
    <row r="56" spans="2:11" x14ac:dyDescent="0.3">
      <c r="C56" s="1" t="s">
        <v>45</v>
      </c>
      <c r="D56" s="5">
        <v>46247</v>
      </c>
      <c r="E56" s="3">
        <f t="shared" ref="E56:E76" ca="1" si="2">TODAY()-D56</f>
        <v>23</v>
      </c>
      <c r="F56" s="6" t="s">
        <v>36</v>
      </c>
      <c r="G56" s="1" t="s">
        <v>48</v>
      </c>
      <c r="H56" s="1">
        <v>1</v>
      </c>
      <c r="I56" s="12"/>
      <c r="J56" s="3"/>
    </row>
    <row r="57" spans="2:11" x14ac:dyDescent="0.3">
      <c r="C57" s="1" t="s">
        <v>39</v>
      </c>
      <c r="D57" s="5">
        <v>46254</v>
      </c>
      <c r="E57" s="3">
        <f t="shared" ca="1" si="2"/>
        <v>16</v>
      </c>
      <c r="F57" s="6" t="s">
        <v>36</v>
      </c>
      <c r="G57" s="1" t="s">
        <v>48</v>
      </c>
      <c r="H57" s="1">
        <v>0</v>
      </c>
      <c r="I57" s="12"/>
      <c r="J57" s="3"/>
    </row>
    <row r="58" spans="2:11" x14ac:dyDescent="0.3">
      <c r="C58" s="1" t="s">
        <v>40</v>
      </c>
      <c r="D58" s="5">
        <v>46254</v>
      </c>
      <c r="E58" s="3">
        <f t="shared" ca="1" si="2"/>
        <v>16</v>
      </c>
      <c r="F58" s="6" t="s">
        <v>36</v>
      </c>
      <c r="G58" s="1" t="s">
        <v>48</v>
      </c>
      <c r="H58" s="1">
        <v>0</v>
      </c>
      <c r="I58" s="12"/>
      <c r="J58" s="3"/>
    </row>
    <row r="59" spans="2:11" x14ac:dyDescent="0.3">
      <c r="C59" s="17" t="s">
        <v>11</v>
      </c>
      <c r="D59" s="5">
        <v>46227</v>
      </c>
      <c r="E59" s="3">
        <f t="shared" ca="1" si="2"/>
        <v>43</v>
      </c>
      <c r="F59" s="6" t="s">
        <v>8</v>
      </c>
      <c r="G59" s="1" t="s">
        <v>49</v>
      </c>
      <c r="H59" s="1">
        <v>1</v>
      </c>
      <c r="I59" s="12"/>
      <c r="J59" s="3"/>
    </row>
    <row r="60" spans="2:11" x14ac:dyDescent="0.3">
      <c r="C60" s="14" t="s">
        <v>12</v>
      </c>
      <c r="D60" s="5">
        <v>46225</v>
      </c>
      <c r="E60" s="3">
        <f t="shared" ca="1" si="2"/>
        <v>45</v>
      </c>
      <c r="F60" s="6" t="s">
        <v>8</v>
      </c>
      <c r="G60" s="16" t="s">
        <v>47</v>
      </c>
      <c r="H60" s="1">
        <v>1</v>
      </c>
      <c r="I60" s="12"/>
      <c r="J60" s="3"/>
    </row>
    <row r="61" spans="2:11" x14ac:dyDescent="0.3">
      <c r="C61" s="18" t="s">
        <v>13</v>
      </c>
      <c r="D61" s="5">
        <v>46227</v>
      </c>
      <c r="E61" s="3">
        <f t="shared" ca="1" si="2"/>
        <v>43</v>
      </c>
      <c r="F61" s="6" t="s">
        <v>8</v>
      </c>
      <c r="G61" s="1" t="s">
        <v>49</v>
      </c>
      <c r="H61" s="1">
        <v>1</v>
      </c>
      <c r="J61" s="3"/>
    </row>
    <row r="62" spans="2:11" x14ac:dyDescent="0.3">
      <c r="C62" s="15" t="s">
        <v>14</v>
      </c>
      <c r="D62" s="5">
        <v>46228</v>
      </c>
      <c r="E62" s="3">
        <f t="shared" ca="1" si="2"/>
        <v>42</v>
      </c>
      <c r="F62" s="6" t="s">
        <v>8</v>
      </c>
      <c r="G62" s="16" t="s">
        <v>47</v>
      </c>
      <c r="H62" s="1">
        <v>1</v>
      </c>
      <c r="I62" s="20" t="s">
        <v>21</v>
      </c>
      <c r="J62" s="20"/>
    </row>
    <row r="63" spans="2:11" x14ac:dyDescent="0.3">
      <c r="C63" s="19" t="s">
        <v>15</v>
      </c>
      <c r="D63" s="5">
        <v>46229</v>
      </c>
      <c r="E63" s="3">
        <f t="shared" ca="1" si="2"/>
        <v>41</v>
      </c>
      <c r="F63" s="6" t="s">
        <v>8</v>
      </c>
      <c r="G63" s="1" t="s">
        <v>50</v>
      </c>
      <c r="H63" s="1">
        <v>1</v>
      </c>
      <c r="I63" s="1" t="s">
        <v>7</v>
      </c>
      <c r="J63" s="3" t="s">
        <v>22</v>
      </c>
    </row>
    <row r="64" spans="2:11" x14ac:dyDescent="0.3">
      <c r="C64" s="19" t="s">
        <v>16</v>
      </c>
      <c r="D64" s="5">
        <v>46239</v>
      </c>
      <c r="E64" s="3">
        <f t="shared" ca="1" si="2"/>
        <v>31</v>
      </c>
      <c r="F64" s="6" t="s">
        <v>8</v>
      </c>
      <c r="G64" s="1" t="s">
        <v>49</v>
      </c>
      <c r="H64" s="1">
        <v>1</v>
      </c>
      <c r="I64" s="6" t="s">
        <v>36</v>
      </c>
      <c r="J64" s="3">
        <f>COUNTIF(F55:F83,I64)</f>
        <v>4</v>
      </c>
      <c r="K64" s="3"/>
    </row>
    <row r="65" spans="2:11" x14ac:dyDescent="0.3">
      <c r="C65" s="1" t="s">
        <v>23</v>
      </c>
      <c r="D65" s="5">
        <v>46213</v>
      </c>
      <c r="E65" s="3">
        <f t="shared" ca="1" si="2"/>
        <v>57</v>
      </c>
      <c r="F65" s="6" t="s">
        <v>9</v>
      </c>
      <c r="H65" s="1">
        <v>0</v>
      </c>
      <c r="I65" s="6" t="s">
        <v>8</v>
      </c>
      <c r="J65" s="3">
        <f>COUNTIF(F55:F83,I65)</f>
        <v>6</v>
      </c>
      <c r="K65" s="3"/>
    </row>
    <row r="66" spans="2:11" x14ac:dyDescent="0.3">
      <c r="C66" s="19" t="s">
        <v>24</v>
      </c>
      <c r="D66" s="5">
        <v>46214</v>
      </c>
      <c r="E66" s="3">
        <f t="shared" ca="1" si="2"/>
        <v>56</v>
      </c>
      <c r="F66" s="6" t="s">
        <v>9</v>
      </c>
      <c r="G66" s="10" t="s">
        <v>51</v>
      </c>
      <c r="H66" s="1">
        <v>0</v>
      </c>
      <c r="I66" s="6" t="s">
        <v>9</v>
      </c>
      <c r="J66" s="3">
        <f>COUNTIF(F55:F83,I66)</f>
        <v>7</v>
      </c>
    </row>
    <row r="67" spans="2:11" x14ac:dyDescent="0.3">
      <c r="C67" s="18" t="s">
        <v>25</v>
      </c>
      <c r="D67" s="5">
        <v>46214</v>
      </c>
      <c r="E67" s="3">
        <f t="shared" ca="1" si="2"/>
        <v>56</v>
      </c>
      <c r="F67" s="6" t="s">
        <v>9</v>
      </c>
      <c r="G67" s="1" t="s">
        <v>49</v>
      </c>
      <c r="H67" s="1">
        <v>0</v>
      </c>
      <c r="I67" s="6" t="s">
        <v>10</v>
      </c>
      <c r="J67" s="3">
        <f>COUNTIF(F55:F83,I67)</f>
        <v>4</v>
      </c>
    </row>
    <row r="68" spans="2:11" x14ac:dyDescent="0.3">
      <c r="C68" s="17" t="s">
        <v>26</v>
      </c>
      <c r="D68" s="5">
        <v>46214</v>
      </c>
      <c r="E68" s="3">
        <f t="shared" ca="1" si="2"/>
        <v>56</v>
      </c>
      <c r="F68" s="6" t="s">
        <v>9</v>
      </c>
      <c r="G68" s="1" t="s">
        <v>52</v>
      </c>
      <c r="H68" s="1">
        <v>0</v>
      </c>
      <c r="I68" s="6" t="s">
        <v>30</v>
      </c>
      <c r="J68" s="3">
        <f>COUNTIF(F55:F83,I68)</f>
        <v>5</v>
      </c>
    </row>
    <row r="69" spans="2:11" x14ac:dyDescent="0.3">
      <c r="B69" s="5"/>
      <c r="C69" s="19" t="s">
        <v>27</v>
      </c>
      <c r="D69" s="5">
        <v>46227</v>
      </c>
      <c r="E69" s="3">
        <f t="shared" ca="1" si="2"/>
        <v>43</v>
      </c>
      <c r="F69" s="6" t="s">
        <v>9</v>
      </c>
      <c r="G69" s="1" t="s">
        <v>50</v>
      </c>
      <c r="H69" s="1">
        <v>1</v>
      </c>
      <c r="I69" s="6" t="s">
        <v>44</v>
      </c>
      <c r="J69" s="3">
        <f>COUNTIF(F55:F83,I69)</f>
        <v>3</v>
      </c>
    </row>
    <row r="70" spans="2:11" x14ac:dyDescent="0.3">
      <c r="C70" s="18" t="s">
        <v>28</v>
      </c>
      <c r="D70" s="5">
        <v>46226</v>
      </c>
      <c r="E70" s="3">
        <f t="shared" ca="1" si="2"/>
        <v>44</v>
      </c>
      <c r="F70" s="6" t="s">
        <v>9</v>
      </c>
      <c r="G70" s="1" t="s">
        <v>52</v>
      </c>
      <c r="H70" s="1">
        <v>1</v>
      </c>
      <c r="J70" s="3"/>
    </row>
    <row r="71" spans="2:11" x14ac:dyDescent="0.3">
      <c r="C71" s="15" t="s">
        <v>29</v>
      </c>
      <c r="D71" s="5">
        <v>46227</v>
      </c>
      <c r="E71" s="3">
        <f t="shared" ca="1" si="2"/>
        <v>43</v>
      </c>
      <c r="F71" s="6" t="s">
        <v>9</v>
      </c>
      <c r="G71" s="1" t="s">
        <v>49</v>
      </c>
      <c r="H71" s="1">
        <v>1</v>
      </c>
    </row>
    <row r="72" spans="2:11" x14ac:dyDescent="0.3">
      <c r="C72" s="1" t="s">
        <v>31</v>
      </c>
      <c r="D72" s="5">
        <v>46253</v>
      </c>
      <c r="E72" s="3">
        <f t="shared" ca="1" si="2"/>
        <v>17</v>
      </c>
      <c r="F72" s="6" t="s">
        <v>30</v>
      </c>
      <c r="H72" s="1">
        <v>1</v>
      </c>
    </row>
    <row r="73" spans="2:11" x14ac:dyDescent="0.3">
      <c r="C73" s="14" t="s">
        <v>32</v>
      </c>
      <c r="D73" s="5">
        <v>46214</v>
      </c>
      <c r="E73" s="3">
        <f t="shared" ca="1" si="2"/>
        <v>56</v>
      </c>
      <c r="F73" s="6" t="s">
        <v>30</v>
      </c>
      <c r="G73" s="4"/>
      <c r="H73" s="1">
        <v>1</v>
      </c>
    </row>
    <row r="74" spans="2:11" x14ac:dyDescent="0.3">
      <c r="C74" s="17" t="s">
        <v>33</v>
      </c>
      <c r="D74" s="5">
        <v>46253</v>
      </c>
      <c r="E74" s="3">
        <f t="shared" ca="1" si="2"/>
        <v>17</v>
      </c>
      <c r="F74" s="6" t="s">
        <v>30</v>
      </c>
      <c r="G74" s="4"/>
      <c r="H74" s="1">
        <v>1</v>
      </c>
    </row>
    <row r="75" spans="2:11" x14ac:dyDescent="0.3">
      <c r="C75" s="1" t="s">
        <v>34</v>
      </c>
      <c r="D75" s="5">
        <v>46227</v>
      </c>
      <c r="E75" s="3">
        <f t="shared" ca="1" si="2"/>
        <v>43</v>
      </c>
      <c r="F75" s="6" t="s">
        <v>30</v>
      </c>
      <c r="G75" s="4"/>
      <c r="H75" s="1">
        <v>1</v>
      </c>
    </row>
    <row r="76" spans="2:11" x14ac:dyDescent="0.3">
      <c r="C76" s="1" t="s">
        <v>35</v>
      </c>
      <c r="D76" s="5">
        <v>46251</v>
      </c>
      <c r="E76" s="3">
        <f t="shared" ca="1" si="2"/>
        <v>19</v>
      </c>
      <c r="F76" s="6" t="s">
        <v>30</v>
      </c>
      <c r="H76" s="1">
        <v>1</v>
      </c>
    </row>
    <row r="77" spans="2:11" x14ac:dyDescent="0.3">
      <c r="C77" s="14" t="s">
        <v>17</v>
      </c>
      <c r="D77" s="5">
        <v>46215</v>
      </c>
      <c r="E77" s="3">
        <v>0</v>
      </c>
      <c r="F77" s="6" t="s">
        <v>10</v>
      </c>
    </row>
    <row r="78" spans="2:11" x14ac:dyDescent="0.3">
      <c r="C78" s="1" t="s">
        <v>18</v>
      </c>
      <c r="D78" s="5">
        <v>46215</v>
      </c>
      <c r="E78" s="3">
        <v>0</v>
      </c>
      <c r="F78" s="6" t="s">
        <v>10</v>
      </c>
    </row>
    <row r="79" spans="2:11" x14ac:dyDescent="0.3">
      <c r="C79" s="1" t="s">
        <v>19</v>
      </c>
      <c r="D79" s="5">
        <v>46214</v>
      </c>
      <c r="E79" s="3">
        <v>0</v>
      </c>
      <c r="F79" s="6" t="s">
        <v>10</v>
      </c>
    </row>
    <row r="80" spans="2:11" x14ac:dyDescent="0.3">
      <c r="C80" s="1" t="s">
        <v>20</v>
      </c>
      <c r="D80" s="5">
        <v>46215</v>
      </c>
      <c r="E80" s="3">
        <v>0</v>
      </c>
      <c r="F80" s="6" t="s">
        <v>10</v>
      </c>
    </row>
    <row r="81" spans="2:10" x14ac:dyDescent="0.3">
      <c r="C81" s="1" t="s">
        <v>41</v>
      </c>
      <c r="D81" s="5">
        <v>46213</v>
      </c>
      <c r="E81" s="3">
        <v>0</v>
      </c>
      <c r="F81" s="6" t="s">
        <v>44</v>
      </c>
    </row>
    <row r="82" spans="2:10" x14ac:dyDescent="0.3">
      <c r="C82" s="1" t="s">
        <v>42</v>
      </c>
      <c r="D82" s="5">
        <v>46227</v>
      </c>
      <c r="E82" s="3">
        <v>0</v>
      </c>
      <c r="F82" s="6" t="s">
        <v>44</v>
      </c>
      <c r="H82" s="1">
        <v>1</v>
      </c>
    </row>
    <row r="83" spans="2:10" x14ac:dyDescent="0.3">
      <c r="C83" s="1" t="s">
        <v>43</v>
      </c>
      <c r="D83" s="5">
        <v>46226</v>
      </c>
      <c r="E83" s="3">
        <v>0</v>
      </c>
      <c r="F83" s="6" t="s">
        <v>44</v>
      </c>
      <c r="H83" s="1">
        <v>1</v>
      </c>
    </row>
    <row r="84" spans="2:10" x14ac:dyDescent="0.3">
      <c r="D84" s="5"/>
      <c r="E84" s="3"/>
    </row>
    <row r="85" spans="2:10" x14ac:dyDescent="0.3">
      <c r="B85" s="8" t="s">
        <v>1</v>
      </c>
      <c r="C85" s="8" t="s">
        <v>2</v>
      </c>
      <c r="D85" s="8" t="s">
        <v>5</v>
      </c>
      <c r="E85" s="8" t="s">
        <v>6</v>
      </c>
      <c r="F85" s="8" t="s">
        <v>7</v>
      </c>
      <c r="G85" s="13" t="s">
        <v>58</v>
      </c>
      <c r="I85" s="20"/>
      <c r="J85" s="20"/>
    </row>
    <row r="86" spans="2:10" x14ac:dyDescent="0.3">
      <c r="B86" s="5">
        <v>46258</v>
      </c>
      <c r="C86" s="14" t="s">
        <v>3</v>
      </c>
      <c r="D86" s="5">
        <v>46237</v>
      </c>
      <c r="E86" s="3">
        <f ca="1">TODAY()-D86</f>
        <v>33</v>
      </c>
      <c r="F86" s="7" t="s">
        <v>8</v>
      </c>
      <c r="G86" s="16" t="s">
        <v>47</v>
      </c>
      <c r="H86" s="1">
        <v>1</v>
      </c>
      <c r="J86" s="3"/>
    </row>
    <row r="87" spans="2:10" x14ac:dyDescent="0.3">
      <c r="C87" s="1" t="s">
        <v>45</v>
      </c>
      <c r="D87" s="5">
        <v>46247</v>
      </c>
      <c r="E87" s="3">
        <f t="shared" ref="E87:E90" ca="1" si="3">TODAY()-D87</f>
        <v>23</v>
      </c>
      <c r="F87" s="6" t="s">
        <v>36</v>
      </c>
      <c r="H87" s="1">
        <v>1</v>
      </c>
      <c r="I87" s="12"/>
      <c r="J87" s="3"/>
    </row>
    <row r="88" spans="2:10" x14ac:dyDescent="0.3">
      <c r="C88" s="1" t="s">
        <v>59</v>
      </c>
      <c r="D88" s="5">
        <v>46254</v>
      </c>
      <c r="E88" s="3">
        <f t="shared" ca="1" si="3"/>
        <v>16</v>
      </c>
      <c r="F88" s="6" t="s">
        <v>36</v>
      </c>
      <c r="H88" s="1">
        <v>0</v>
      </c>
      <c r="I88" s="12"/>
      <c r="J88" s="3"/>
    </row>
    <row r="89" spans="2:10" x14ac:dyDescent="0.3">
      <c r="C89" s="1" t="s">
        <v>40</v>
      </c>
      <c r="D89" s="5">
        <v>46254</v>
      </c>
      <c r="E89" s="3">
        <f t="shared" ca="1" si="3"/>
        <v>16</v>
      </c>
      <c r="F89" s="6" t="s">
        <v>36</v>
      </c>
      <c r="H89" s="1">
        <v>0</v>
      </c>
      <c r="I89" s="12"/>
      <c r="J89" s="3"/>
    </row>
    <row r="90" spans="2:10" x14ac:dyDescent="0.3">
      <c r="C90" s="1" t="s">
        <v>53</v>
      </c>
      <c r="D90" s="5">
        <v>46258</v>
      </c>
      <c r="E90" s="3">
        <f t="shared" ca="1" si="3"/>
        <v>12</v>
      </c>
      <c r="F90" s="6" t="s">
        <v>36</v>
      </c>
      <c r="H90" s="1">
        <v>1</v>
      </c>
      <c r="I90" s="12"/>
      <c r="J90" s="3"/>
    </row>
    <row r="91" spans="2:10" x14ac:dyDescent="0.3">
      <c r="C91" s="17" t="s">
        <v>11</v>
      </c>
      <c r="D91" s="5">
        <v>46227</v>
      </c>
      <c r="E91" s="3">
        <f t="shared" ref="E91:E102" ca="1" si="4">TODAY()-D91</f>
        <v>43</v>
      </c>
      <c r="F91" s="6" t="s">
        <v>44</v>
      </c>
      <c r="H91" s="1">
        <v>1</v>
      </c>
      <c r="I91" s="12"/>
      <c r="J91" s="3"/>
    </row>
    <row r="92" spans="2:10" x14ac:dyDescent="0.3">
      <c r="C92" s="14" t="s">
        <v>12</v>
      </c>
      <c r="D92" s="5">
        <v>46225</v>
      </c>
      <c r="E92" s="3">
        <f t="shared" ca="1" si="4"/>
        <v>45</v>
      </c>
      <c r="F92" s="6" t="s">
        <v>8</v>
      </c>
      <c r="G92" s="16" t="s">
        <v>60</v>
      </c>
      <c r="H92" s="1">
        <v>1</v>
      </c>
      <c r="J92" s="3"/>
    </row>
    <row r="93" spans="2:10" x14ac:dyDescent="0.3">
      <c r="C93" s="18" t="s">
        <v>13</v>
      </c>
      <c r="D93" s="5">
        <v>46227</v>
      </c>
      <c r="E93" s="3">
        <f t="shared" ca="1" si="4"/>
        <v>43</v>
      </c>
      <c r="F93" s="6" t="s">
        <v>8</v>
      </c>
      <c r="G93" s="10" t="s">
        <v>63</v>
      </c>
      <c r="H93" s="1">
        <v>1</v>
      </c>
      <c r="I93" s="20" t="s">
        <v>21</v>
      </c>
      <c r="J93" s="20"/>
    </row>
    <row r="94" spans="2:10" x14ac:dyDescent="0.3">
      <c r="C94" s="15" t="s">
        <v>14</v>
      </c>
      <c r="D94" s="5">
        <v>46228</v>
      </c>
      <c r="E94" s="3">
        <f t="shared" ca="1" si="4"/>
        <v>42</v>
      </c>
      <c r="F94" s="6" t="s">
        <v>8</v>
      </c>
      <c r="G94" s="16" t="s">
        <v>47</v>
      </c>
      <c r="H94" s="1">
        <v>1</v>
      </c>
      <c r="I94" s="1" t="s">
        <v>7</v>
      </c>
      <c r="J94" s="3" t="s">
        <v>22</v>
      </c>
    </row>
    <row r="95" spans="2:10" x14ac:dyDescent="0.3">
      <c r="C95" s="19" t="s">
        <v>15</v>
      </c>
      <c r="D95" s="5">
        <v>46229</v>
      </c>
      <c r="E95" s="3">
        <f t="shared" ca="1" si="4"/>
        <v>41</v>
      </c>
      <c r="F95" s="6" t="s">
        <v>8</v>
      </c>
      <c r="G95" s="10" t="s">
        <v>61</v>
      </c>
      <c r="H95" s="1">
        <v>1</v>
      </c>
      <c r="I95" s="6" t="s">
        <v>36</v>
      </c>
      <c r="J95" s="3">
        <f>COUNTIF(F86:F116,I95)</f>
        <v>4</v>
      </c>
    </row>
    <row r="96" spans="2:10" x14ac:dyDescent="0.3">
      <c r="C96" s="19" t="s">
        <v>16</v>
      </c>
      <c r="D96" s="5">
        <v>46239</v>
      </c>
      <c r="E96" s="3">
        <f t="shared" ca="1" si="4"/>
        <v>31</v>
      </c>
      <c r="F96" s="6" t="s">
        <v>44</v>
      </c>
      <c r="H96" s="1">
        <v>1</v>
      </c>
      <c r="I96" s="6" t="s">
        <v>8</v>
      </c>
      <c r="J96" s="3">
        <f>COUNTIF(F86:F116,I96)</f>
        <v>5</v>
      </c>
    </row>
    <row r="97" spans="2:10" x14ac:dyDescent="0.3">
      <c r="C97" s="1" t="s">
        <v>23</v>
      </c>
      <c r="D97" s="5">
        <v>46213</v>
      </c>
      <c r="E97" s="3">
        <f t="shared" ca="1" si="4"/>
        <v>57</v>
      </c>
      <c r="F97" s="6" t="s">
        <v>9</v>
      </c>
      <c r="H97" s="1">
        <v>0</v>
      </c>
      <c r="I97" s="6" t="s">
        <v>9</v>
      </c>
      <c r="J97" s="3">
        <f>COUNTIF(F86:F116,I97)</f>
        <v>5</v>
      </c>
    </row>
    <row r="98" spans="2:10" x14ac:dyDescent="0.3">
      <c r="C98" s="19" t="s">
        <v>24</v>
      </c>
      <c r="D98" s="5">
        <v>46214</v>
      </c>
      <c r="E98" s="3">
        <f t="shared" ca="1" si="4"/>
        <v>56</v>
      </c>
      <c r="F98" s="6" t="s">
        <v>9</v>
      </c>
      <c r="G98" s="10" t="s">
        <v>57</v>
      </c>
      <c r="H98" s="1">
        <v>0</v>
      </c>
      <c r="I98" s="6" t="s">
        <v>10</v>
      </c>
      <c r="J98" s="3">
        <f>COUNTIF(F86:F116,I98)</f>
        <v>4</v>
      </c>
    </row>
    <row r="99" spans="2:10" x14ac:dyDescent="0.3">
      <c r="C99" s="18" t="s">
        <v>25</v>
      </c>
      <c r="D99" s="5">
        <v>46214</v>
      </c>
      <c r="E99" s="3">
        <f t="shared" ca="1" si="4"/>
        <v>56</v>
      </c>
      <c r="F99" s="6" t="s">
        <v>9</v>
      </c>
      <c r="G99" s="10" t="s">
        <v>62</v>
      </c>
      <c r="H99" s="1">
        <v>0</v>
      </c>
      <c r="I99" s="6" t="s">
        <v>30</v>
      </c>
      <c r="J99" s="3">
        <f>COUNTIF(F86:F116,I99)</f>
        <v>6</v>
      </c>
    </row>
    <row r="100" spans="2:10" x14ac:dyDescent="0.3">
      <c r="B100" s="5"/>
      <c r="C100" s="17" t="s">
        <v>26</v>
      </c>
      <c r="D100" s="5">
        <v>46214</v>
      </c>
      <c r="E100" s="3">
        <f t="shared" ca="1" si="4"/>
        <v>56</v>
      </c>
      <c r="F100" s="6" t="s">
        <v>30</v>
      </c>
      <c r="G100" s="16"/>
      <c r="H100" s="1">
        <v>0</v>
      </c>
      <c r="I100" s="6" t="s">
        <v>44</v>
      </c>
      <c r="J100" s="3">
        <f>COUNTIF(F86:F116,I100)</f>
        <v>5</v>
      </c>
    </row>
    <row r="101" spans="2:10" x14ac:dyDescent="0.3">
      <c r="C101" s="19" t="s">
        <v>27</v>
      </c>
      <c r="D101" s="5">
        <v>46227</v>
      </c>
      <c r="E101" s="3">
        <f t="shared" ca="1" si="4"/>
        <v>43</v>
      </c>
      <c r="F101" s="6" t="s">
        <v>9</v>
      </c>
      <c r="H101" s="1">
        <v>1</v>
      </c>
      <c r="I101" s="6" t="s">
        <v>54</v>
      </c>
      <c r="J101" s="3">
        <f>COUNTIF(F86:F116,I101)</f>
        <v>2</v>
      </c>
    </row>
    <row r="102" spans="2:10" x14ac:dyDescent="0.3">
      <c r="C102" s="18" t="s">
        <v>28</v>
      </c>
      <c r="D102" s="5">
        <v>46226</v>
      </c>
      <c r="E102" s="3">
        <f t="shared" ca="1" si="4"/>
        <v>44</v>
      </c>
      <c r="F102" s="6" t="s">
        <v>9</v>
      </c>
      <c r="G102" s="10" t="s">
        <v>64</v>
      </c>
      <c r="H102" s="1">
        <v>1</v>
      </c>
    </row>
    <row r="103" spans="2:10" x14ac:dyDescent="0.3">
      <c r="C103" s="1" t="s">
        <v>31</v>
      </c>
      <c r="D103" s="5">
        <v>46253</v>
      </c>
      <c r="E103" s="3">
        <f t="shared" ref="E103:E107" ca="1" si="5">TODAY()-D103</f>
        <v>17</v>
      </c>
      <c r="F103" s="6" t="s">
        <v>30</v>
      </c>
      <c r="H103" s="1">
        <v>1</v>
      </c>
      <c r="I103" s="1" t="s">
        <v>65</v>
      </c>
      <c r="J103" s="1">
        <v>2</v>
      </c>
    </row>
    <row r="104" spans="2:10" x14ac:dyDescent="0.3">
      <c r="C104" s="14" t="s">
        <v>32</v>
      </c>
      <c r="D104" s="5">
        <v>46214</v>
      </c>
      <c r="E104" s="3">
        <f t="shared" ca="1" si="5"/>
        <v>56</v>
      </c>
      <c r="F104" s="6" t="s">
        <v>30</v>
      </c>
      <c r="G104" s="4"/>
      <c r="H104" s="1">
        <v>1</v>
      </c>
      <c r="I104" s="1" t="s">
        <v>66</v>
      </c>
      <c r="J104" s="1">
        <v>0</v>
      </c>
    </row>
    <row r="105" spans="2:10" x14ac:dyDescent="0.3">
      <c r="C105" s="17" t="s">
        <v>33</v>
      </c>
      <c r="D105" s="5">
        <v>46253</v>
      </c>
      <c r="E105" s="3">
        <f t="shared" ca="1" si="5"/>
        <v>17</v>
      </c>
      <c r="F105" s="6" t="s">
        <v>30</v>
      </c>
      <c r="G105" s="4"/>
      <c r="H105" s="1">
        <v>1</v>
      </c>
      <c r="I105" s="1" t="s">
        <v>67</v>
      </c>
      <c r="J105" s="1">
        <v>3</v>
      </c>
    </row>
    <row r="106" spans="2:10" x14ac:dyDescent="0.3">
      <c r="C106" s="1" t="s">
        <v>34</v>
      </c>
      <c r="D106" s="5">
        <v>46227</v>
      </c>
      <c r="E106" s="3">
        <f t="shared" ca="1" si="5"/>
        <v>43</v>
      </c>
      <c r="F106" s="6" t="s">
        <v>30</v>
      </c>
      <c r="G106" s="4"/>
      <c r="H106" s="1">
        <v>1</v>
      </c>
      <c r="I106" s="1" t="s">
        <v>68</v>
      </c>
      <c r="J106" s="1">
        <v>1</v>
      </c>
    </row>
    <row r="107" spans="2:10" x14ac:dyDescent="0.3">
      <c r="C107" s="1" t="s">
        <v>35</v>
      </c>
      <c r="D107" s="5">
        <v>46251</v>
      </c>
      <c r="E107" s="3">
        <f t="shared" ca="1" si="5"/>
        <v>19</v>
      </c>
      <c r="F107" s="6" t="s">
        <v>30</v>
      </c>
      <c r="H107" s="1">
        <v>1</v>
      </c>
      <c r="I107" s="1" t="s">
        <v>69</v>
      </c>
      <c r="J107" s="1">
        <v>3</v>
      </c>
    </row>
    <row r="108" spans="2:10" x14ac:dyDescent="0.3">
      <c r="C108" s="14" t="s">
        <v>17</v>
      </c>
      <c r="D108" s="5">
        <v>46215</v>
      </c>
      <c r="E108" s="3">
        <v>0</v>
      </c>
      <c r="F108" s="6" t="s">
        <v>10</v>
      </c>
    </row>
    <row r="109" spans="2:10" x14ac:dyDescent="0.3">
      <c r="C109" s="1" t="s">
        <v>18</v>
      </c>
      <c r="D109" s="5">
        <v>46215</v>
      </c>
      <c r="E109" s="3">
        <v>0</v>
      </c>
      <c r="F109" s="6" t="s">
        <v>10</v>
      </c>
    </row>
    <row r="110" spans="2:10" x14ac:dyDescent="0.3">
      <c r="C110" s="1" t="s">
        <v>19</v>
      </c>
      <c r="D110" s="5">
        <v>46214</v>
      </c>
      <c r="E110" s="3">
        <v>0</v>
      </c>
      <c r="F110" s="6" t="s">
        <v>10</v>
      </c>
    </row>
    <row r="111" spans="2:10" x14ac:dyDescent="0.3">
      <c r="C111" s="1" t="s">
        <v>20</v>
      </c>
      <c r="D111" s="5">
        <v>46215</v>
      </c>
      <c r="E111" s="3">
        <v>0</v>
      </c>
      <c r="F111" s="6" t="s">
        <v>10</v>
      </c>
    </row>
    <row r="112" spans="2:10" x14ac:dyDescent="0.3">
      <c r="C112" s="1" t="s">
        <v>41</v>
      </c>
      <c r="D112" s="5">
        <v>46213</v>
      </c>
      <c r="E112" s="3">
        <v>0</v>
      </c>
      <c r="F112" s="6" t="s">
        <v>44</v>
      </c>
    </row>
    <row r="113" spans="2:10" x14ac:dyDescent="0.3">
      <c r="C113" s="1" t="s">
        <v>42</v>
      </c>
      <c r="D113" s="5">
        <v>46227</v>
      </c>
      <c r="E113" s="3">
        <v>0</v>
      </c>
      <c r="F113" s="6" t="s">
        <v>44</v>
      </c>
      <c r="H113" s="1">
        <v>1</v>
      </c>
    </row>
    <row r="114" spans="2:10" x14ac:dyDescent="0.3">
      <c r="C114" s="1" t="s">
        <v>56</v>
      </c>
      <c r="D114" s="5">
        <v>46226</v>
      </c>
      <c r="E114" s="3">
        <v>0</v>
      </c>
      <c r="F114" s="6" t="s">
        <v>44</v>
      </c>
      <c r="H114" s="1">
        <v>1</v>
      </c>
    </row>
    <row r="115" spans="2:10" x14ac:dyDescent="0.3">
      <c r="C115" s="15" t="s">
        <v>29</v>
      </c>
      <c r="D115" s="5">
        <v>46227</v>
      </c>
      <c r="E115" s="3">
        <f t="shared" ref="E115:E116" ca="1" si="6">TODAY()-D115</f>
        <v>43</v>
      </c>
      <c r="F115" s="6" t="s">
        <v>54</v>
      </c>
      <c r="H115" s="1">
        <v>1</v>
      </c>
    </row>
    <row r="116" spans="2:10" x14ac:dyDescent="0.3">
      <c r="C116" s="14" t="s">
        <v>55</v>
      </c>
      <c r="D116" s="5">
        <v>46214</v>
      </c>
      <c r="E116" s="3">
        <f t="shared" ca="1" si="6"/>
        <v>56</v>
      </c>
      <c r="F116" s="6" t="s">
        <v>54</v>
      </c>
    </row>
    <row r="118" spans="2:10" x14ac:dyDescent="0.3">
      <c r="B118" s="8" t="s">
        <v>1</v>
      </c>
      <c r="C118" s="8" t="s">
        <v>2</v>
      </c>
      <c r="D118" s="8" t="s">
        <v>5</v>
      </c>
      <c r="E118" s="8" t="s">
        <v>6</v>
      </c>
      <c r="F118" s="8" t="s">
        <v>7</v>
      </c>
      <c r="G118" s="13" t="s">
        <v>58</v>
      </c>
      <c r="I118" s="20"/>
      <c r="J118" s="20"/>
    </row>
    <row r="119" spans="2:10" x14ac:dyDescent="0.3">
      <c r="B119" s="5">
        <v>46259</v>
      </c>
      <c r="C119" s="14" t="s">
        <v>3</v>
      </c>
      <c r="D119" s="5">
        <v>46237</v>
      </c>
      <c r="E119" s="3">
        <f ca="1">TODAY()-D119</f>
        <v>33</v>
      </c>
      <c r="F119" s="7" t="s">
        <v>8</v>
      </c>
      <c r="G119" s="16" t="s">
        <v>47</v>
      </c>
      <c r="H119" s="1">
        <v>1</v>
      </c>
      <c r="J119" s="3"/>
    </row>
    <row r="120" spans="2:10" x14ac:dyDescent="0.3">
      <c r="C120" s="18" t="s">
        <v>72</v>
      </c>
      <c r="D120" s="5">
        <v>46247</v>
      </c>
      <c r="E120" s="3">
        <f t="shared" ref="E120:E123" ca="1" si="7">TODAY()-D120</f>
        <v>23</v>
      </c>
      <c r="F120" s="6" t="s">
        <v>54</v>
      </c>
      <c r="G120" s="10" t="s">
        <v>73</v>
      </c>
      <c r="H120" s="1">
        <v>1</v>
      </c>
      <c r="I120" s="12"/>
      <c r="J120" s="3"/>
    </row>
    <row r="121" spans="2:10" x14ac:dyDescent="0.3">
      <c r="C121" s="14" t="s">
        <v>59</v>
      </c>
      <c r="D121" s="5">
        <v>46254</v>
      </c>
      <c r="E121" s="3">
        <f t="shared" ca="1" si="7"/>
        <v>16</v>
      </c>
      <c r="F121" s="6" t="s">
        <v>36</v>
      </c>
      <c r="H121" s="1">
        <v>0</v>
      </c>
      <c r="I121" s="12"/>
      <c r="J121" s="3"/>
    </row>
    <row r="122" spans="2:10" x14ac:dyDescent="0.3">
      <c r="C122" s="19" t="s">
        <v>71</v>
      </c>
      <c r="D122" s="5">
        <v>46254</v>
      </c>
      <c r="E122" s="3">
        <f t="shared" ca="1" si="7"/>
        <v>16</v>
      </c>
      <c r="F122" s="6" t="s">
        <v>8</v>
      </c>
      <c r="H122" s="1">
        <v>0</v>
      </c>
      <c r="I122" s="12"/>
      <c r="J122" s="3"/>
    </row>
    <row r="123" spans="2:10" x14ac:dyDescent="0.3">
      <c r="C123" s="1" t="s">
        <v>70</v>
      </c>
      <c r="D123" s="5">
        <v>46258</v>
      </c>
      <c r="E123" s="3">
        <f t="shared" ca="1" si="7"/>
        <v>12</v>
      </c>
      <c r="F123" s="6" t="s">
        <v>36</v>
      </c>
      <c r="H123" s="1">
        <v>1</v>
      </c>
      <c r="I123" s="12"/>
      <c r="J123" s="3"/>
    </row>
    <row r="124" spans="2:10" x14ac:dyDescent="0.3">
      <c r="C124" s="14" t="s">
        <v>12</v>
      </c>
      <c r="D124" s="5">
        <v>46225</v>
      </c>
      <c r="E124" s="3">
        <f t="shared" ref="E124:E137" ca="1" si="8">TODAY()-D124</f>
        <v>45</v>
      </c>
      <c r="F124" s="6" t="s">
        <v>8</v>
      </c>
      <c r="G124" s="16" t="s">
        <v>60</v>
      </c>
      <c r="H124" s="1">
        <v>1</v>
      </c>
      <c r="I124" s="12"/>
      <c r="J124" s="3"/>
    </row>
    <row r="125" spans="2:10" x14ac:dyDescent="0.3">
      <c r="C125" s="18" t="s">
        <v>13</v>
      </c>
      <c r="D125" s="5">
        <v>46227</v>
      </c>
      <c r="E125" s="3">
        <f t="shared" ca="1" si="8"/>
        <v>43</v>
      </c>
      <c r="F125" s="6" t="s">
        <v>8</v>
      </c>
      <c r="G125" s="10" t="s">
        <v>63</v>
      </c>
      <c r="H125" s="1">
        <v>1</v>
      </c>
      <c r="J125" s="3"/>
    </row>
    <row r="126" spans="2:10" x14ac:dyDescent="0.3">
      <c r="C126" s="15" t="s">
        <v>14</v>
      </c>
      <c r="D126" s="5">
        <v>46228</v>
      </c>
      <c r="E126" s="3">
        <f t="shared" ca="1" si="8"/>
        <v>42</v>
      </c>
      <c r="F126" s="6" t="s">
        <v>8</v>
      </c>
      <c r="G126" s="16" t="s">
        <v>47</v>
      </c>
      <c r="H126" s="1">
        <v>1</v>
      </c>
      <c r="I126" s="20" t="s">
        <v>21</v>
      </c>
      <c r="J126" s="20"/>
    </row>
    <row r="127" spans="2:10" x14ac:dyDescent="0.3">
      <c r="C127" s="19" t="s">
        <v>15</v>
      </c>
      <c r="D127" s="5">
        <v>46229</v>
      </c>
      <c r="E127" s="3">
        <f t="shared" ca="1" si="8"/>
        <v>41</v>
      </c>
      <c r="F127" s="6" t="s">
        <v>8</v>
      </c>
      <c r="G127" s="10" t="s">
        <v>61</v>
      </c>
      <c r="H127" s="1">
        <v>1</v>
      </c>
      <c r="I127" s="1" t="s">
        <v>7</v>
      </c>
      <c r="J127" s="3" t="s">
        <v>22</v>
      </c>
    </row>
    <row r="128" spans="2:10" x14ac:dyDescent="0.3">
      <c r="C128" s="1" t="s">
        <v>23</v>
      </c>
      <c r="D128" s="5">
        <v>46213</v>
      </c>
      <c r="E128" s="3">
        <f t="shared" ca="1" si="8"/>
        <v>57</v>
      </c>
      <c r="F128" s="6" t="s">
        <v>9</v>
      </c>
      <c r="H128" s="1">
        <v>0</v>
      </c>
      <c r="I128" s="6" t="s">
        <v>36</v>
      </c>
      <c r="J128" s="3">
        <f>COUNTIF(F119:F146,I128)</f>
        <v>2</v>
      </c>
    </row>
    <row r="129" spans="2:10" x14ac:dyDescent="0.3">
      <c r="C129" s="19" t="s">
        <v>24</v>
      </c>
      <c r="D129" s="5">
        <v>46214</v>
      </c>
      <c r="E129" s="3">
        <f t="shared" ca="1" si="8"/>
        <v>56</v>
      </c>
      <c r="F129" s="6" t="s">
        <v>9</v>
      </c>
      <c r="G129" s="10" t="s">
        <v>57</v>
      </c>
      <c r="H129" s="1">
        <v>0</v>
      </c>
      <c r="I129" s="6" t="s">
        <v>8</v>
      </c>
      <c r="J129" s="3">
        <f>COUNTIF(F119:F146,I129)</f>
        <v>6</v>
      </c>
    </row>
    <row r="130" spans="2:10" x14ac:dyDescent="0.3">
      <c r="C130" s="18" t="s">
        <v>25</v>
      </c>
      <c r="D130" s="5">
        <v>46214</v>
      </c>
      <c r="E130" s="3">
        <f t="shared" ca="1" si="8"/>
        <v>56</v>
      </c>
      <c r="F130" s="6" t="s">
        <v>54</v>
      </c>
      <c r="G130" s="10" t="s">
        <v>74</v>
      </c>
      <c r="H130" s="1">
        <v>0</v>
      </c>
      <c r="I130" s="6" t="s">
        <v>9</v>
      </c>
      <c r="J130" s="3">
        <f>COUNTIF(F119:F146,I130)</f>
        <v>5</v>
      </c>
    </row>
    <row r="131" spans="2:10" x14ac:dyDescent="0.3">
      <c r="C131" s="17" t="s">
        <v>26</v>
      </c>
      <c r="D131" s="5">
        <v>46214</v>
      </c>
      <c r="E131" s="3">
        <f t="shared" ca="1" si="8"/>
        <v>56</v>
      </c>
      <c r="F131" s="6" t="s">
        <v>9</v>
      </c>
      <c r="G131" s="16"/>
      <c r="H131" s="1">
        <v>0</v>
      </c>
      <c r="I131" s="6" t="s">
        <v>10</v>
      </c>
      <c r="J131" s="3">
        <f>COUNTIF(F119:F146,I131)</f>
        <v>4</v>
      </c>
    </row>
    <row r="132" spans="2:10" x14ac:dyDescent="0.3">
      <c r="C132" s="19" t="s">
        <v>27</v>
      </c>
      <c r="D132" s="5">
        <v>46227</v>
      </c>
      <c r="E132" s="3">
        <f t="shared" ca="1" si="8"/>
        <v>43</v>
      </c>
      <c r="F132" s="6" t="s">
        <v>9</v>
      </c>
      <c r="H132" s="1">
        <v>1</v>
      </c>
      <c r="I132" s="6" t="s">
        <v>30</v>
      </c>
      <c r="J132" s="3">
        <f>COUNTIF(F119:F146,I132)</f>
        <v>4</v>
      </c>
    </row>
    <row r="133" spans="2:10" x14ac:dyDescent="0.3">
      <c r="B133" s="5"/>
      <c r="C133" s="18" t="s">
        <v>28</v>
      </c>
      <c r="D133" s="5">
        <v>46226</v>
      </c>
      <c r="E133" s="3">
        <f t="shared" ca="1" si="8"/>
        <v>44</v>
      </c>
      <c r="F133" s="6" t="s">
        <v>9</v>
      </c>
      <c r="G133" s="10" t="s">
        <v>75</v>
      </c>
      <c r="H133" s="1">
        <v>1</v>
      </c>
      <c r="I133" s="6" t="s">
        <v>44</v>
      </c>
      <c r="J133" s="3">
        <f>COUNTIF(F119:F146,I133)</f>
        <v>3</v>
      </c>
    </row>
    <row r="134" spans="2:10" x14ac:dyDescent="0.3">
      <c r="C134" s="1" t="s">
        <v>31</v>
      </c>
      <c r="D134" s="5">
        <v>46253</v>
      </c>
      <c r="E134" s="3">
        <f t="shared" ca="1" si="8"/>
        <v>17</v>
      </c>
      <c r="F134" s="6" t="s">
        <v>30</v>
      </c>
      <c r="H134" s="1">
        <v>1</v>
      </c>
      <c r="I134" s="6" t="s">
        <v>54</v>
      </c>
      <c r="J134" s="3">
        <f>COUNTIF(F119:F146,I134)</f>
        <v>4</v>
      </c>
    </row>
    <row r="135" spans="2:10" x14ac:dyDescent="0.3">
      <c r="C135" s="17" t="s">
        <v>33</v>
      </c>
      <c r="D135" s="5">
        <v>46253</v>
      </c>
      <c r="E135" s="3">
        <f t="shared" ca="1" si="8"/>
        <v>17</v>
      </c>
      <c r="F135" s="6" t="s">
        <v>30</v>
      </c>
      <c r="G135" s="4"/>
      <c r="H135" s="1">
        <v>1</v>
      </c>
    </row>
    <row r="136" spans="2:10" x14ac:dyDescent="0.3">
      <c r="C136" s="1" t="s">
        <v>34</v>
      </c>
      <c r="D136" s="5">
        <v>46227</v>
      </c>
      <c r="E136" s="3">
        <f t="shared" ca="1" si="8"/>
        <v>43</v>
      </c>
      <c r="F136" s="6" t="s">
        <v>30</v>
      </c>
      <c r="G136" s="4"/>
      <c r="H136" s="1">
        <v>1</v>
      </c>
      <c r="I136" s="1" t="s">
        <v>65</v>
      </c>
      <c r="J136" s="1">
        <v>2</v>
      </c>
    </row>
    <row r="137" spans="2:10" x14ac:dyDescent="0.3">
      <c r="C137" s="1" t="s">
        <v>35</v>
      </c>
      <c r="D137" s="5">
        <v>46251</v>
      </c>
      <c r="E137" s="3">
        <f t="shared" ca="1" si="8"/>
        <v>19</v>
      </c>
      <c r="F137" s="6" t="s">
        <v>30</v>
      </c>
      <c r="H137" s="1">
        <v>1</v>
      </c>
      <c r="I137" s="1" t="s">
        <v>66</v>
      </c>
      <c r="J137" s="1">
        <v>0</v>
      </c>
    </row>
    <row r="138" spans="2:10" x14ac:dyDescent="0.3">
      <c r="C138" s="14" t="s">
        <v>17</v>
      </c>
      <c r="D138" s="5">
        <v>46215</v>
      </c>
      <c r="E138" s="3">
        <v>0</v>
      </c>
      <c r="F138" s="6" t="s">
        <v>10</v>
      </c>
      <c r="I138" s="1" t="s">
        <v>67</v>
      </c>
      <c r="J138" s="1">
        <v>3</v>
      </c>
    </row>
    <row r="139" spans="2:10" x14ac:dyDescent="0.3">
      <c r="C139" s="1" t="s">
        <v>18</v>
      </c>
      <c r="D139" s="5">
        <v>46215</v>
      </c>
      <c r="E139" s="3">
        <v>0</v>
      </c>
      <c r="F139" s="6" t="s">
        <v>10</v>
      </c>
      <c r="I139" s="1" t="s">
        <v>68</v>
      </c>
      <c r="J139" s="1">
        <v>2</v>
      </c>
    </row>
    <row r="140" spans="2:10" x14ac:dyDescent="0.3">
      <c r="C140" s="1" t="s">
        <v>19</v>
      </c>
      <c r="D140" s="5">
        <v>46214</v>
      </c>
      <c r="E140" s="3">
        <v>0</v>
      </c>
      <c r="F140" s="6" t="s">
        <v>10</v>
      </c>
      <c r="I140" s="1" t="s">
        <v>69</v>
      </c>
      <c r="J140" s="1">
        <v>3</v>
      </c>
    </row>
    <row r="141" spans="2:10" x14ac:dyDescent="0.3">
      <c r="C141" s="1" t="s">
        <v>20</v>
      </c>
      <c r="D141" s="5">
        <v>46215</v>
      </c>
      <c r="E141" s="3">
        <v>0</v>
      </c>
      <c r="F141" s="6" t="s">
        <v>10</v>
      </c>
    </row>
    <row r="142" spans="2:10" x14ac:dyDescent="0.3">
      <c r="C142" s="1" t="s">
        <v>41</v>
      </c>
      <c r="D142" s="5">
        <v>46213</v>
      </c>
      <c r="E142" s="3">
        <v>0</v>
      </c>
      <c r="F142" s="6" t="s">
        <v>44</v>
      </c>
    </row>
    <row r="143" spans="2:10" x14ac:dyDescent="0.3">
      <c r="C143" s="1" t="s">
        <v>42</v>
      </c>
      <c r="D143" s="5">
        <v>46227</v>
      </c>
      <c r="E143" s="3">
        <v>0</v>
      </c>
      <c r="F143" s="6" t="s">
        <v>44</v>
      </c>
      <c r="H143" s="1">
        <v>1</v>
      </c>
    </row>
    <row r="144" spans="2:10" x14ac:dyDescent="0.3">
      <c r="C144" s="1" t="s">
        <v>56</v>
      </c>
      <c r="D144" s="5">
        <v>46226</v>
      </c>
      <c r="E144" s="3">
        <v>0</v>
      </c>
      <c r="F144" s="6" t="s">
        <v>44</v>
      </c>
      <c r="H144" s="1">
        <v>1</v>
      </c>
    </row>
    <row r="145" spans="2:10" x14ac:dyDescent="0.3">
      <c r="C145" s="15" t="s">
        <v>29</v>
      </c>
      <c r="D145" s="5">
        <v>46227</v>
      </c>
      <c r="E145" s="3">
        <f t="shared" ref="E145:E146" ca="1" si="9">TODAY()-D145</f>
        <v>43</v>
      </c>
      <c r="F145" s="6" t="s">
        <v>54</v>
      </c>
      <c r="H145" s="1">
        <v>1</v>
      </c>
    </row>
    <row r="146" spans="2:10" x14ac:dyDescent="0.3">
      <c r="C146" s="14" t="s">
        <v>55</v>
      </c>
      <c r="D146" s="5">
        <v>46214</v>
      </c>
      <c r="E146" s="3">
        <f t="shared" ca="1" si="9"/>
        <v>56</v>
      </c>
      <c r="F146" s="6" t="s">
        <v>54</v>
      </c>
    </row>
    <row r="147" spans="2:10" x14ac:dyDescent="0.3">
      <c r="D147" s="5"/>
      <c r="E147" s="3"/>
      <c r="F147" s="12"/>
    </row>
    <row r="148" spans="2:10" x14ac:dyDescent="0.3">
      <c r="B148" s="8" t="s">
        <v>1</v>
      </c>
      <c r="C148" s="8" t="s">
        <v>2</v>
      </c>
      <c r="D148" s="8" t="s">
        <v>5</v>
      </c>
      <c r="E148" s="8" t="s">
        <v>6</v>
      </c>
      <c r="F148" s="8" t="s">
        <v>7</v>
      </c>
      <c r="G148" s="13" t="s">
        <v>58</v>
      </c>
      <c r="I148" s="20"/>
      <c r="J148" s="20"/>
    </row>
    <row r="149" spans="2:10" x14ac:dyDescent="0.3">
      <c r="B149" s="5">
        <v>46260</v>
      </c>
      <c r="C149" s="14" t="s">
        <v>3</v>
      </c>
      <c r="D149" s="5">
        <v>46237</v>
      </c>
      <c r="E149" s="3">
        <f ca="1">TODAY()-D149</f>
        <v>33</v>
      </c>
      <c r="F149" s="7" t="s">
        <v>8</v>
      </c>
      <c r="G149" s="1" t="s">
        <v>79</v>
      </c>
      <c r="H149" s="1">
        <v>1</v>
      </c>
      <c r="J149" s="3"/>
    </row>
    <row r="150" spans="2:10" x14ac:dyDescent="0.3">
      <c r="C150" s="18" t="s">
        <v>72</v>
      </c>
      <c r="D150" s="5">
        <v>46247</v>
      </c>
      <c r="E150" s="3">
        <f t="shared" ref="E150:E169" ca="1" si="10">TODAY()-D150</f>
        <v>23</v>
      </c>
      <c r="F150" s="6" t="s">
        <v>8</v>
      </c>
      <c r="G150" s="10" t="s">
        <v>84</v>
      </c>
      <c r="H150" s="1">
        <v>1</v>
      </c>
      <c r="I150" s="12"/>
      <c r="J150" s="3"/>
    </row>
    <row r="151" spans="2:10" x14ac:dyDescent="0.3">
      <c r="C151" s="14" t="s">
        <v>59</v>
      </c>
      <c r="D151" s="5">
        <v>46254</v>
      </c>
      <c r="E151" s="3">
        <f t="shared" ca="1" si="10"/>
        <v>16</v>
      </c>
      <c r="F151" s="6" t="s">
        <v>8</v>
      </c>
      <c r="G151" s="1" t="s">
        <v>79</v>
      </c>
      <c r="H151" s="1">
        <v>0</v>
      </c>
      <c r="I151" s="12"/>
      <c r="J151" s="3"/>
    </row>
    <row r="152" spans="2:10" x14ac:dyDescent="0.3">
      <c r="C152" s="19" t="s">
        <v>71</v>
      </c>
      <c r="D152" s="5">
        <v>46254</v>
      </c>
      <c r="E152" s="3">
        <f t="shared" ca="1" si="10"/>
        <v>16</v>
      </c>
      <c r="F152" s="6" t="s">
        <v>8</v>
      </c>
      <c r="G152" s="1" t="s">
        <v>80</v>
      </c>
      <c r="H152" s="1">
        <v>0</v>
      </c>
      <c r="I152" s="12"/>
      <c r="J152" s="3"/>
    </row>
    <row r="153" spans="2:10" x14ac:dyDescent="0.3">
      <c r="C153" s="1" t="s">
        <v>70</v>
      </c>
      <c r="D153" s="5">
        <v>46258</v>
      </c>
      <c r="E153" s="3">
        <f t="shared" ca="1" si="10"/>
        <v>12</v>
      </c>
      <c r="F153" s="6" t="s">
        <v>36</v>
      </c>
      <c r="H153" s="1">
        <v>1</v>
      </c>
      <c r="I153" s="12"/>
      <c r="J153" s="3"/>
    </row>
    <row r="154" spans="2:10" x14ac:dyDescent="0.3">
      <c r="C154" s="14" t="s">
        <v>12</v>
      </c>
      <c r="D154" s="5">
        <v>46225</v>
      </c>
      <c r="E154" s="3">
        <f t="shared" ca="1" si="10"/>
        <v>45</v>
      </c>
      <c r="F154" s="6" t="s">
        <v>8</v>
      </c>
      <c r="G154" s="16" t="s">
        <v>60</v>
      </c>
      <c r="H154" s="1">
        <v>1</v>
      </c>
      <c r="I154" s="12"/>
      <c r="J154" s="3"/>
    </row>
    <row r="155" spans="2:10" x14ac:dyDescent="0.3">
      <c r="C155" s="18" t="s">
        <v>13</v>
      </c>
      <c r="D155" s="5">
        <v>46227</v>
      </c>
      <c r="E155" s="3">
        <f t="shared" ca="1" si="10"/>
        <v>43</v>
      </c>
      <c r="F155" s="6" t="s">
        <v>77</v>
      </c>
      <c r="G155" s="10" t="s">
        <v>76</v>
      </c>
      <c r="H155" s="1">
        <v>1</v>
      </c>
      <c r="J155" s="3"/>
    </row>
    <row r="156" spans="2:10" x14ac:dyDescent="0.3">
      <c r="C156" s="15" t="s">
        <v>14</v>
      </c>
      <c r="D156" s="5">
        <v>46228</v>
      </c>
      <c r="E156" s="3">
        <f t="shared" ca="1" si="10"/>
        <v>42</v>
      </c>
      <c r="F156" s="6" t="s">
        <v>77</v>
      </c>
      <c r="G156" s="1" t="s">
        <v>50</v>
      </c>
      <c r="H156" s="1">
        <v>1</v>
      </c>
      <c r="I156" s="20" t="s">
        <v>21</v>
      </c>
      <c r="J156" s="20"/>
    </row>
    <row r="157" spans="2:10" x14ac:dyDescent="0.3">
      <c r="C157" s="19" t="s">
        <v>15</v>
      </c>
      <c r="D157" s="5">
        <v>46229</v>
      </c>
      <c r="E157" s="3">
        <f t="shared" ca="1" si="10"/>
        <v>41</v>
      </c>
      <c r="F157" s="6" t="s">
        <v>77</v>
      </c>
      <c r="G157" s="10" t="s">
        <v>82</v>
      </c>
      <c r="H157" s="1">
        <v>1</v>
      </c>
      <c r="I157" s="1" t="s">
        <v>7</v>
      </c>
      <c r="J157" s="3" t="s">
        <v>22</v>
      </c>
    </row>
    <row r="158" spans="2:10" x14ac:dyDescent="0.3">
      <c r="C158" s="1" t="s">
        <v>23</v>
      </c>
      <c r="D158" s="5">
        <v>46213</v>
      </c>
      <c r="E158" s="3">
        <f t="shared" ca="1" si="10"/>
        <v>57</v>
      </c>
      <c r="F158" s="6" t="s">
        <v>9</v>
      </c>
      <c r="H158" s="1">
        <v>0</v>
      </c>
      <c r="I158" s="6" t="s">
        <v>36</v>
      </c>
      <c r="J158" s="3">
        <f>COUNTIF(F149:F179,I158)</f>
        <v>2</v>
      </c>
    </row>
    <row r="159" spans="2:10" x14ac:dyDescent="0.3">
      <c r="C159" s="19" t="s">
        <v>24</v>
      </c>
      <c r="D159" s="5">
        <v>46214</v>
      </c>
      <c r="E159" s="3">
        <f t="shared" ca="1" si="10"/>
        <v>56</v>
      </c>
      <c r="F159" s="6" t="s">
        <v>9</v>
      </c>
      <c r="G159" s="10" t="s">
        <v>57</v>
      </c>
      <c r="H159" s="1">
        <v>0</v>
      </c>
      <c r="I159" s="6" t="s">
        <v>8</v>
      </c>
      <c r="J159" s="3">
        <f>COUNTIF(F149:F179,I159)</f>
        <v>10</v>
      </c>
    </row>
    <row r="160" spans="2:10" x14ac:dyDescent="0.3">
      <c r="C160" s="18" t="s">
        <v>25</v>
      </c>
      <c r="D160" s="5">
        <v>46214</v>
      </c>
      <c r="E160" s="3">
        <f t="shared" ca="1" si="10"/>
        <v>56</v>
      </c>
      <c r="F160" s="6" t="s">
        <v>54</v>
      </c>
      <c r="G160" s="10" t="s">
        <v>74</v>
      </c>
      <c r="H160" s="1">
        <v>0</v>
      </c>
      <c r="I160" s="6" t="s">
        <v>77</v>
      </c>
      <c r="J160" s="3">
        <f>COUNTIF(F149:F179,I160)</f>
        <v>5</v>
      </c>
    </row>
    <row r="161" spans="2:10" x14ac:dyDescent="0.3">
      <c r="C161" s="17" t="s">
        <v>26</v>
      </c>
      <c r="D161" s="5">
        <v>46214</v>
      </c>
      <c r="E161" s="3">
        <f t="shared" ca="1" si="10"/>
        <v>56</v>
      </c>
      <c r="F161" s="6" t="s">
        <v>9</v>
      </c>
      <c r="G161" s="16"/>
      <c r="H161" s="1">
        <v>0</v>
      </c>
      <c r="I161" s="6" t="s">
        <v>9</v>
      </c>
      <c r="J161" s="3">
        <f>COUNTIF(F150:F180,I161)</f>
        <v>5</v>
      </c>
    </row>
    <row r="162" spans="2:10" x14ac:dyDescent="0.3">
      <c r="C162" s="19" t="s">
        <v>27</v>
      </c>
      <c r="D162" s="5">
        <v>46227</v>
      </c>
      <c r="E162" s="3">
        <f t="shared" ca="1" si="10"/>
        <v>43</v>
      </c>
      <c r="F162" s="6" t="s">
        <v>9</v>
      </c>
      <c r="H162" s="1">
        <v>1</v>
      </c>
      <c r="I162" s="6" t="s">
        <v>10</v>
      </c>
      <c r="J162" s="3">
        <f>COUNTIF(F150:F180,I162)</f>
        <v>0</v>
      </c>
    </row>
    <row r="163" spans="2:10" x14ac:dyDescent="0.3">
      <c r="B163" s="5"/>
      <c r="C163" s="18" t="s">
        <v>28</v>
      </c>
      <c r="D163" s="5">
        <v>46226</v>
      </c>
      <c r="E163" s="3">
        <f t="shared" ca="1" si="10"/>
        <v>44</v>
      </c>
      <c r="F163" s="6" t="s">
        <v>9</v>
      </c>
      <c r="G163" s="10" t="s">
        <v>78</v>
      </c>
      <c r="H163" s="1">
        <v>1</v>
      </c>
      <c r="I163" s="6" t="s">
        <v>30</v>
      </c>
      <c r="J163" s="3">
        <f>COUNTIF(F150:F180,I163)</f>
        <v>4</v>
      </c>
    </row>
    <row r="164" spans="2:10" x14ac:dyDescent="0.3">
      <c r="C164" s="1" t="s">
        <v>31</v>
      </c>
      <c r="D164" s="5">
        <v>46253</v>
      </c>
      <c r="E164" s="3">
        <f t="shared" ca="1" si="10"/>
        <v>17</v>
      </c>
      <c r="F164" s="6" t="s">
        <v>30</v>
      </c>
      <c r="H164" s="1">
        <v>1</v>
      </c>
      <c r="I164" s="6" t="s">
        <v>44</v>
      </c>
      <c r="J164" s="3">
        <f>COUNTIF(F150:F180,I164)</f>
        <v>0</v>
      </c>
    </row>
    <row r="165" spans="2:10" x14ac:dyDescent="0.3">
      <c r="C165" s="17" t="s">
        <v>33</v>
      </c>
      <c r="D165" s="5">
        <v>46253</v>
      </c>
      <c r="E165" s="3">
        <f t="shared" ca="1" si="10"/>
        <v>17</v>
      </c>
      <c r="F165" s="6" t="s">
        <v>30</v>
      </c>
      <c r="G165" s="4"/>
      <c r="H165" s="1">
        <v>1</v>
      </c>
      <c r="I165" s="6" t="s">
        <v>54</v>
      </c>
      <c r="J165" s="3">
        <f>COUNTIF(F150:F180,I165)</f>
        <v>3</v>
      </c>
    </row>
    <row r="166" spans="2:10" x14ac:dyDescent="0.3">
      <c r="C166" s="1" t="s">
        <v>34</v>
      </c>
      <c r="D166" s="5">
        <v>46227</v>
      </c>
      <c r="E166" s="3">
        <f t="shared" ca="1" si="10"/>
        <v>43</v>
      </c>
      <c r="F166" s="6" t="s">
        <v>30</v>
      </c>
      <c r="G166" s="4"/>
      <c r="H166" s="1">
        <v>1</v>
      </c>
      <c r="I166" s="1" t="s">
        <v>65</v>
      </c>
      <c r="J166" s="1">
        <v>4</v>
      </c>
    </row>
    <row r="167" spans="2:10" x14ac:dyDescent="0.3">
      <c r="C167" s="1" t="s">
        <v>35</v>
      </c>
      <c r="D167" s="5">
        <v>46251</v>
      </c>
      <c r="E167" s="3">
        <f t="shared" ca="1" si="10"/>
        <v>19</v>
      </c>
      <c r="F167" s="6" t="s">
        <v>30</v>
      </c>
      <c r="H167" s="1">
        <v>1</v>
      </c>
      <c r="I167" s="1" t="s">
        <v>66</v>
      </c>
      <c r="J167" s="1">
        <v>0</v>
      </c>
    </row>
    <row r="168" spans="2:10" x14ac:dyDescent="0.3">
      <c r="C168" s="15" t="s">
        <v>29</v>
      </c>
      <c r="D168" s="5">
        <v>46227</v>
      </c>
      <c r="E168" s="3">
        <f t="shared" ca="1" si="10"/>
        <v>43</v>
      </c>
      <c r="F168" s="6" t="s">
        <v>54</v>
      </c>
      <c r="G168" s="1" t="s">
        <v>83</v>
      </c>
      <c r="H168" s="1">
        <v>1</v>
      </c>
      <c r="I168" s="1" t="s">
        <v>67</v>
      </c>
      <c r="J168" s="1">
        <v>1</v>
      </c>
    </row>
    <row r="169" spans="2:10" x14ac:dyDescent="0.3">
      <c r="C169" s="14" t="s">
        <v>55</v>
      </c>
      <c r="D169" s="5">
        <v>46214</v>
      </c>
      <c r="E169" s="3">
        <f t="shared" ca="1" si="10"/>
        <v>56</v>
      </c>
      <c r="F169" s="6" t="s">
        <v>54</v>
      </c>
      <c r="G169" s="1" t="s">
        <v>81</v>
      </c>
      <c r="I169" s="1" t="s">
        <v>68</v>
      </c>
      <c r="J169" s="1">
        <v>0</v>
      </c>
    </row>
    <row r="170" spans="2:10" x14ac:dyDescent="0.3">
      <c r="D170" s="5"/>
      <c r="E170" s="3"/>
      <c r="F170" s="12"/>
      <c r="I170" s="1" t="s">
        <v>69</v>
      </c>
      <c r="J170" s="1">
        <v>2</v>
      </c>
    </row>
    <row r="171" spans="2:10" x14ac:dyDescent="0.3">
      <c r="B171" s="8" t="s">
        <v>1</v>
      </c>
      <c r="C171" s="8" t="s">
        <v>2</v>
      </c>
      <c r="D171" s="8" t="s">
        <v>5</v>
      </c>
      <c r="E171" s="8" t="s">
        <v>6</v>
      </c>
      <c r="F171" s="8" t="s">
        <v>7</v>
      </c>
      <c r="G171" s="13" t="s">
        <v>58</v>
      </c>
      <c r="I171" s="20"/>
      <c r="J171" s="20"/>
    </row>
    <row r="172" spans="2:10" x14ac:dyDescent="0.3">
      <c r="B172" s="5">
        <v>46151</v>
      </c>
      <c r="C172" s="14" t="s">
        <v>3</v>
      </c>
      <c r="D172" s="5">
        <v>46237</v>
      </c>
      <c r="E172" s="3">
        <f ca="1">TODAY()-D172</f>
        <v>33</v>
      </c>
      <c r="F172" s="7" t="s">
        <v>8</v>
      </c>
      <c r="G172" s="1" t="s">
        <v>48</v>
      </c>
      <c r="H172" s="1">
        <v>1</v>
      </c>
      <c r="J172" s="3"/>
    </row>
    <row r="173" spans="2:10" x14ac:dyDescent="0.3">
      <c r="C173" s="18" t="s">
        <v>72</v>
      </c>
      <c r="D173" s="5">
        <v>46247</v>
      </c>
      <c r="E173" s="3">
        <f t="shared" ref="E173:E192" ca="1" si="11">TODAY()-D173</f>
        <v>23</v>
      </c>
      <c r="F173" s="6" t="s">
        <v>8</v>
      </c>
      <c r="G173" s="10" t="s">
        <v>84</v>
      </c>
      <c r="H173" s="1">
        <v>1</v>
      </c>
      <c r="I173" s="12"/>
      <c r="J173" s="3"/>
    </row>
    <row r="174" spans="2:10" x14ac:dyDescent="0.3">
      <c r="C174" s="14" t="s">
        <v>59</v>
      </c>
      <c r="D174" s="5">
        <v>46254</v>
      </c>
      <c r="E174" s="3">
        <f t="shared" ca="1" si="11"/>
        <v>16</v>
      </c>
      <c r="F174" s="6" t="s">
        <v>36</v>
      </c>
      <c r="G174" s="1" t="s">
        <v>48</v>
      </c>
      <c r="H174" s="1">
        <v>0</v>
      </c>
      <c r="I174" s="12"/>
      <c r="J174" s="3"/>
    </row>
    <row r="175" spans="2:10" x14ac:dyDescent="0.3">
      <c r="C175" s="19" t="s">
        <v>71</v>
      </c>
      <c r="D175" s="5">
        <v>46254</v>
      </c>
      <c r="E175" s="3">
        <f t="shared" ca="1" si="11"/>
        <v>16</v>
      </c>
      <c r="F175" s="6" t="s">
        <v>8</v>
      </c>
      <c r="G175" s="1" t="s">
        <v>80</v>
      </c>
      <c r="H175" s="1">
        <v>0</v>
      </c>
      <c r="I175" s="12"/>
      <c r="J175" s="3"/>
    </row>
    <row r="176" spans="2:10" x14ac:dyDescent="0.3">
      <c r="C176" s="19" t="s">
        <v>85</v>
      </c>
      <c r="D176" s="5">
        <v>46258</v>
      </c>
      <c r="E176" s="3">
        <f t="shared" ca="1" si="11"/>
        <v>12</v>
      </c>
      <c r="F176" s="6" t="s">
        <v>8</v>
      </c>
      <c r="G176" s="1" t="s">
        <v>48</v>
      </c>
      <c r="H176" s="1">
        <v>1</v>
      </c>
      <c r="I176" s="12"/>
      <c r="J176" s="3"/>
    </row>
    <row r="177" spans="2:10" x14ac:dyDescent="0.3">
      <c r="C177" s="14" t="s">
        <v>12</v>
      </c>
      <c r="D177" s="5">
        <v>46225</v>
      </c>
      <c r="E177" s="3">
        <f t="shared" ca="1" si="11"/>
        <v>45</v>
      </c>
      <c r="F177" s="6" t="s">
        <v>8</v>
      </c>
      <c r="G177" s="10" t="s">
        <v>87</v>
      </c>
      <c r="H177" s="1">
        <v>1</v>
      </c>
      <c r="I177" s="12"/>
      <c r="J177" s="3"/>
    </row>
    <row r="178" spans="2:10" x14ac:dyDescent="0.3">
      <c r="C178" s="18" t="s">
        <v>13</v>
      </c>
      <c r="D178" s="5">
        <v>46227</v>
      </c>
      <c r="E178" s="3">
        <f t="shared" ca="1" si="11"/>
        <v>43</v>
      </c>
      <c r="F178" s="6" t="s">
        <v>77</v>
      </c>
      <c r="G178" s="10" t="s">
        <v>76</v>
      </c>
      <c r="H178" s="1">
        <v>1</v>
      </c>
      <c r="J178" s="3"/>
    </row>
    <row r="179" spans="2:10" x14ac:dyDescent="0.3">
      <c r="C179" s="15" t="s">
        <v>14</v>
      </c>
      <c r="D179" s="5">
        <v>46228</v>
      </c>
      <c r="E179" s="3">
        <f t="shared" ca="1" si="11"/>
        <v>42</v>
      </c>
      <c r="F179" s="6" t="s">
        <v>77</v>
      </c>
      <c r="G179" s="1" t="s">
        <v>50</v>
      </c>
      <c r="H179" s="1">
        <v>1</v>
      </c>
      <c r="I179" s="20" t="s">
        <v>21</v>
      </c>
      <c r="J179" s="20"/>
    </row>
    <row r="180" spans="2:10" x14ac:dyDescent="0.3">
      <c r="C180" s="19" t="s">
        <v>15</v>
      </c>
      <c r="D180" s="5">
        <v>46229</v>
      </c>
      <c r="E180" s="3">
        <f t="shared" ca="1" si="11"/>
        <v>41</v>
      </c>
      <c r="F180" s="6" t="s">
        <v>77</v>
      </c>
      <c r="G180" s="10" t="s">
        <v>82</v>
      </c>
      <c r="H180" s="1">
        <v>1</v>
      </c>
      <c r="I180" s="1" t="s">
        <v>7</v>
      </c>
      <c r="J180" s="3" t="s">
        <v>22</v>
      </c>
    </row>
    <row r="181" spans="2:10" x14ac:dyDescent="0.3">
      <c r="C181" s="1" t="s">
        <v>23</v>
      </c>
      <c r="D181" s="5">
        <v>46213</v>
      </c>
      <c r="E181" s="3">
        <f t="shared" ca="1" si="11"/>
        <v>57</v>
      </c>
      <c r="F181" s="6" t="s">
        <v>9</v>
      </c>
      <c r="H181" s="1">
        <v>0</v>
      </c>
      <c r="I181" s="6" t="s">
        <v>36</v>
      </c>
      <c r="J181" s="3">
        <f>COUNTIF(F172:F202,I181)</f>
        <v>1</v>
      </c>
    </row>
    <row r="182" spans="2:10" x14ac:dyDescent="0.3">
      <c r="C182" s="19" t="s">
        <v>24</v>
      </c>
      <c r="D182" s="5">
        <v>46214</v>
      </c>
      <c r="E182" s="3">
        <f t="shared" ca="1" si="11"/>
        <v>56</v>
      </c>
      <c r="F182" s="6" t="s">
        <v>9</v>
      </c>
      <c r="G182" s="10" t="s">
        <v>57</v>
      </c>
      <c r="H182" s="1">
        <v>0</v>
      </c>
      <c r="I182" s="6" t="s">
        <v>8</v>
      </c>
      <c r="J182" s="3">
        <f>COUNTIF(F172:F202,I182)</f>
        <v>5</v>
      </c>
    </row>
    <row r="183" spans="2:10" x14ac:dyDescent="0.3">
      <c r="C183" s="18" t="s">
        <v>25</v>
      </c>
      <c r="D183" s="5">
        <v>46214</v>
      </c>
      <c r="E183" s="3">
        <f t="shared" ca="1" si="11"/>
        <v>56</v>
      </c>
      <c r="F183" s="6" t="s">
        <v>54</v>
      </c>
      <c r="G183" s="10" t="s">
        <v>74</v>
      </c>
      <c r="H183" s="1">
        <v>0</v>
      </c>
      <c r="I183" s="6" t="s">
        <v>77</v>
      </c>
      <c r="J183" s="3">
        <f>COUNTIF(F172:F202,I183)</f>
        <v>3</v>
      </c>
    </row>
    <row r="184" spans="2:10" x14ac:dyDescent="0.3">
      <c r="C184" s="17" t="s">
        <v>26</v>
      </c>
      <c r="D184" s="5">
        <v>46214</v>
      </c>
      <c r="E184" s="3">
        <f t="shared" ca="1" si="11"/>
        <v>56</v>
      </c>
      <c r="F184" s="6" t="s">
        <v>9</v>
      </c>
      <c r="G184" s="22" t="s">
        <v>88</v>
      </c>
      <c r="H184" s="1">
        <v>0</v>
      </c>
      <c r="I184" s="6" t="s">
        <v>9</v>
      </c>
      <c r="J184" s="3">
        <f>COUNTIF(F173:F203,I184)</f>
        <v>5</v>
      </c>
    </row>
    <row r="185" spans="2:10" x14ac:dyDescent="0.3">
      <c r="C185" s="19" t="s">
        <v>27</v>
      </c>
      <c r="D185" s="5">
        <v>46227</v>
      </c>
      <c r="E185" s="3">
        <f t="shared" ca="1" si="11"/>
        <v>43</v>
      </c>
      <c r="F185" s="6" t="s">
        <v>9</v>
      </c>
      <c r="G185" s="1" t="s">
        <v>86</v>
      </c>
      <c r="H185" s="1">
        <v>1</v>
      </c>
      <c r="I185" s="6" t="s">
        <v>10</v>
      </c>
      <c r="J185" s="3">
        <f>COUNTIF(F173:F203,I185)</f>
        <v>0</v>
      </c>
    </row>
    <row r="186" spans="2:10" x14ac:dyDescent="0.3">
      <c r="B186" s="5"/>
      <c r="C186" s="18" t="s">
        <v>28</v>
      </c>
      <c r="D186" s="5">
        <v>46226</v>
      </c>
      <c r="E186" s="3">
        <f t="shared" ca="1" si="11"/>
        <v>44</v>
      </c>
      <c r="F186" s="6" t="s">
        <v>9</v>
      </c>
      <c r="G186" s="10" t="s">
        <v>78</v>
      </c>
      <c r="H186" s="1">
        <v>1</v>
      </c>
      <c r="I186" s="6" t="s">
        <v>30</v>
      </c>
      <c r="J186" s="3">
        <f>COUNTIF(F173:F203,I186)</f>
        <v>4</v>
      </c>
    </row>
    <row r="187" spans="2:10" x14ac:dyDescent="0.3">
      <c r="C187" s="1" t="s">
        <v>31</v>
      </c>
      <c r="D187" s="5">
        <v>46253</v>
      </c>
      <c r="E187" s="3">
        <f t="shared" ca="1" si="11"/>
        <v>17</v>
      </c>
      <c r="F187" s="6" t="s">
        <v>30</v>
      </c>
      <c r="H187" s="1">
        <v>1</v>
      </c>
      <c r="I187" s="6" t="s">
        <v>44</v>
      </c>
      <c r="J187" s="3">
        <f>COUNTIF(F173:F203,I187)</f>
        <v>0</v>
      </c>
    </row>
    <row r="188" spans="2:10" x14ac:dyDescent="0.3">
      <c r="C188" s="17" t="s">
        <v>33</v>
      </c>
      <c r="D188" s="5">
        <v>46253</v>
      </c>
      <c r="E188" s="3">
        <f t="shared" ca="1" si="11"/>
        <v>17</v>
      </c>
      <c r="F188" s="6" t="s">
        <v>30</v>
      </c>
      <c r="G188" s="4"/>
      <c r="H188" s="1">
        <v>1</v>
      </c>
      <c r="I188" s="6" t="s">
        <v>54</v>
      </c>
      <c r="J188" s="3">
        <f>COUNTIF(F173:F203,I188)</f>
        <v>3</v>
      </c>
    </row>
    <row r="189" spans="2:10" x14ac:dyDescent="0.3">
      <c r="C189" s="1" t="s">
        <v>34</v>
      </c>
      <c r="D189" s="5">
        <v>46227</v>
      </c>
      <c r="E189" s="3">
        <f t="shared" ca="1" si="11"/>
        <v>43</v>
      </c>
      <c r="F189" s="6" t="s">
        <v>30</v>
      </c>
      <c r="G189" s="4"/>
      <c r="H189" s="1">
        <v>1</v>
      </c>
      <c r="I189" s="1" t="s">
        <v>65</v>
      </c>
      <c r="J189" s="1">
        <v>4</v>
      </c>
    </row>
    <row r="190" spans="2:10" x14ac:dyDescent="0.3">
      <c r="C190" s="1" t="s">
        <v>35</v>
      </c>
      <c r="D190" s="5">
        <v>46251</v>
      </c>
      <c r="E190" s="3">
        <f t="shared" ca="1" si="11"/>
        <v>19</v>
      </c>
      <c r="F190" s="6" t="s">
        <v>30</v>
      </c>
      <c r="H190" s="1">
        <v>1</v>
      </c>
      <c r="I190" s="1" t="s">
        <v>66</v>
      </c>
      <c r="J190" s="1">
        <v>0</v>
      </c>
    </row>
    <row r="191" spans="2:10" x14ac:dyDescent="0.3">
      <c r="C191" s="15" t="s">
        <v>29</v>
      </c>
      <c r="D191" s="5">
        <v>46227</v>
      </c>
      <c r="E191" s="3">
        <f t="shared" ca="1" si="11"/>
        <v>43</v>
      </c>
      <c r="F191" s="6" t="s">
        <v>54</v>
      </c>
      <c r="G191" s="1" t="s">
        <v>83</v>
      </c>
      <c r="H191" s="1">
        <v>1</v>
      </c>
      <c r="I191" s="1" t="s">
        <v>67</v>
      </c>
      <c r="J191" s="1">
        <v>1</v>
      </c>
    </row>
    <row r="192" spans="2:10" x14ac:dyDescent="0.3">
      <c r="C192" s="14" t="s">
        <v>55</v>
      </c>
      <c r="D192" s="5">
        <v>46214</v>
      </c>
      <c r="E192" s="3">
        <f t="shared" ca="1" si="11"/>
        <v>56</v>
      </c>
      <c r="F192" s="6" t="s">
        <v>54</v>
      </c>
      <c r="G192" s="1" t="s">
        <v>81</v>
      </c>
      <c r="I192" s="1" t="s">
        <v>68</v>
      </c>
      <c r="J192" s="1">
        <v>0</v>
      </c>
    </row>
    <row r="193" spans="4:10" x14ac:dyDescent="0.3">
      <c r="D193" s="5"/>
      <c r="E193" s="3"/>
      <c r="F193" s="12"/>
      <c r="I193" s="1" t="s">
        <v>69</v>
      </c>
      <c r="J193" s="1">
        <v>2</v>
      </c>
    </row>
  </sheetData>
  <mergeCells count="13">
    <mergeCell ref="I171:J171"/>
    <mergeCell ref="I179:J179"/>
    <mergeCell ref="I148:J148"/>
    <mergeCell ref="I156:J156"/>
    <mergeCell ref="I118:J118"/>
    <mergeCell ref="I126:J126"/>
    <mergeCell ref="I85:J85"/>
    <mergeCell ref="I93:J93"/>
    <mergeCell ref="B2:C2"/>
    <mergeCell ref="I8:J8"/>
    <mergeCell ref="I29:J29"/>
    <mergeCell ref="I54:J54"/>
    <mergeCell ref="I62:J62"/>
  </mergeCells>
  <phoneticPr fontId="3" type="noConversion"/>
  <conditionalFormatting sqref="F5:F23">
    <cfRule type="expression" dxfId="639" priority="736" stopIfTrue="1">
      <formula>TRIM($A1)="ตรวจเช็ก"</formula>
    </cfRule>
    <cfRule type="expression" dxfId="638" priority="735" stopIfTrue="1">
      <formula>TRIM($A1)="กำลังซ่อม"</formula>
    </cfRule>
    <cfRule type="expression" dxfId="637" priority="734" stopIfTrue="1">
      <formula>TRIM($A1)="เสร็จแล้ว"</formula>
    </cfRule>
    <cfRule type="containsText" dxfId="636" priority="733" operator="containsText" text="ตรวจเช็ก">
      <formula>NOT(ISERROR(SEARCH("ตรวจเช็ก",F5)))</formula>
    </cfRule>
    <cfRule type="containsText" dxfId="635" priority="732" operator="containsText" text="กำลังซ่อม">
      <formula>NOT(ISERROR(SEARCH("กำลังซ่อม",F5)))</formula>
    </cfRule>
    <cfRule type="containsText" dxfId="634" priority="731" operator="containsText" text="เสร็จแล้ว">
      <formula>NOT(ISERROR(SEARCH("เสร็จแล้ว",F5)))</formula>
    </cfRule>
  </conditionalFormatting>
  <conditionalFormatting sqref="F26:F27">
    <cfRule type="containsText" dxfId="633" priority="686" operator="containsText" text="ว่าง">
      <formula>NOT(ISERROR(SEARCH("ว่าง",F26)))</formula>
    </cfRule>
  </conditionalFormatting>
  <conditionalFormatting sqref="F26:F45">
    <cfRule type="expression" dxfId="632" priority="712" stopIfTrue="1">
      <formula>TRIM($A22)="ตรวจเช็ก"</formula>
    </cfRule>
    <cfRule type="expression" dxfId="631" priority="710" stopIfTrue="1">
      <formula>TRIM($A22)="เสร็จแล้ว"</formula>
    </cfRule>
    <cfRule type="containsText" dxfId="630" priority="709" operator="containsText" text="ตรวจเช็ก">
      <formula>NOT(ISERROR(SEARCH("ตรวจเช็ก",F26)))</formula>
    </cfRule>
    <cfRule type="containsText" dxfId="629" priority="708" operator="containsText" text="กำลังซ่อม">
      <formula>NOT(ISERROR(SEARCH("กำลังซ่อม",F26)))</formula>
    </cfRule>
    <cfRule type="containsText" dxfId="628" priority="707" operator="containsText" text="เสร็จแล้ว">
      <formula>NOT(ISERROR(SEARCH("เสร็จแล้ว",F26)))</formula>
    </cfRule>
    <cfRule type="expression" dxfId="627" priority="711" stopIfTrue="1">
      <formula>TRIM($A22)="กำลังซ่อม"</formula>
    </cfRule>
  </conditionalFormatting>
  <conditionalFormatting sqref="F41:F45">
    <cfRule type="containsText" dxfId="626" priority="694" operator="containsText" text="งานแก้">
      <formula>NOT(ISERROR(SEARCH("งานแก้",F41)))</formula>
    </cfRule>
  </conditionalFormatting>
  <conditionalFormatting sqref="F46:F52">
    <cfRule type="containsText" dxfId="625" priority="645" operator="containsText" text="เสร็จแล้ว">
      <formula>NOT(ISERROR(SEARCH("เสร็จแล้ว",F46)))</formula>
    </cfRule>
    <cfRule type="expression" dxfId="624" priority="650" stopIfTrue="1">
      <formula>TRIM($A42)="ตรวจเช็ก"</formula>
    </cfRule>
    <cfRule type="containsText" dxfId="623" priority="647" operator="containsText" text="ตรวจเช็ก">
      <formula>NOT(ISERROR(SEARCH("ตรวจเช็ก",F46)))</formula>
    </cfRule>
    <cfRule type="expression" dxfId="622" priority="649" stopIfTrue="1">
      <formula>TRIM($A42)="กำลังซ่อม"</formula>
    </cfRule>
    <cfRule type="containsText" dxfId="621" priority="646" operator="containsText" text="กำลังซ่อม">
      <formula>NOT(ISERROR(SEARCH("กำลังซ่อม",F46)))</formula>
    </cfRule>
    <cfRule type="expression" dxfId="620" priority="648" stopIfTrue="1">
      <formula>TRIM($A42)="เสร็จแล้ว"</formula>
    </cfRule>
  </conditionalFormatting>
  <conditionalFormatting sqref="F50:F52">
    <cfRule type="containsText" dxfId="619" priority="622" operator="containsText" text="ไม่ซ่อมต่อ">
      <formula>NOT(ISERROR(SEARCH("ไม่ซ่อมต่อ",F50)))</formula>
    </cfRule>
    <cfRule type="containsText" dxfId="618" priority="623" operator="containsText" text="ไม่ซ่อมต่อ">
      <formula>NOT(ISERROR(SEARCH("ไม่ซ่อมต่อ",F50)))</formula>
    </cfRule>
  </conditionalFormatting>
  <conditionalFormatting sqref="F53:F58">
    <cfRule type="containsText" dxfId="617" priority="665" operator="containsText" text="ว่าง">
      <formula>NOT(ISERROR(SEARCH("ว่าง",F53)))</formula>
    </cfRule>
  </conditionalFormatting>
  <conditionalFormatting sqref="F53:F76">
    <cfRule type="containsText" dxfId="616" priority="667" operator="containsText" text="เสร็จแล้ว">
      <formula>NOT(ISERROR(SEARCH("เสร็จแล้ว",F53)))</formula>
    </cfRule>
    <cfRule type="expression" dxfId="615" priority="672" stopIfTrue="1">
      <formula>TRIM($A49)="ตรวจเช็ก"</formula>
    </cfRule>
    <cfRule type="expression" dxfId="614" priority="671" stopIfTrue="1">
      <formula>TRIM($A49)="กำลังซ่อม"</formula>
    </cfRule>
    <cfRule type="expression" dxfId="613" priority="670" stopIfTrue="1">
      <formula>TRIM($A49)="เสร็จแล้ว"</formula>
    </cfRule>
    <cfRule type="containsText" dxfId="612" priority="668" operator="containsText" text="กำลังซ่อม">
      <formula>NOT(ISERROR(SEARCH("กำลังซ่อม",F53)))</formula>
    </cfRule>
    <cfRule type="containsText" dxfId="611" priority="669" operator="containsText" text="ตรวจเช็ก">
      <formula>NOT(ISERROR(SEARCH("ตรวจเช็ก",F53)))</formula>
    </cfRule>
  </conditionalFormatting>
  <conditionalFormatting sqref="F63:F76">
    <cfRule type="containsText" dxfId="610" priority="666" operator="containsText" text="งานแก้">
      <formula>NOT(ISERROR(SEARCH("งานแก้",F63)))</formula>
    </cfRule>
  </conditionalFormatting>
  <conditionalFormatting sqref="F74:F83">
    <cfRule type="containsText" dxfId="609" priority="609" operator="containsText" text="กำลังซ่อม">
      <formula>NOT(ISERROR(SEARCH("กำลังซ่อม",F74)))</formula>
    </cfRule>
    <cfRule type="containsText" dxfId="608" priority="610" operator="containsText" text="ตรวจเช็ก">
      <formula>NOT(ISERROR(SEARCH("ตรวจเช็ก",F74)))</formula>
    </cfRule>
    <cfRule type="expression" dxfId="607" priority="611" stopIfTrue="1">
      <formula>TRIM($A70)="เสร็จแล้ว"</formula>
    </cfRule>
    <cfRule type="expression" dxfId="606" priority="613" stopIfTrue="1">
      <formula>TRIM($A70)="ตรวจเช็ก"</formula>
    </cfRule>
    <cfRule type="expression" dxfId="605" priority="612" stopIfTrue="1">
      <formula>TRIM($A70)="กำลังซ่อม"</formula>
    </cfRule>
    <cfRule type="containsText" dxfId="604" priority="608" operator="containsText" text="เสร็จแล้ว">
      <formula>NOT(ISERROR(SEARCH("เสร็จแล้ว",F74)))</formula>
    </cfRule>
  </conditionalFormatting>
  <conditionalFormatting sqref="F81:F83">
    <cfRule type="containsText" dxfId="603" priority="607" operator="containsText" text="ไม่ซ่อมต่อ">
      <formula>NOT(ISERROR(SEARCH("ไม่ซ่อมต่อ",F81)))</formula>
    </cfRule>
    <cfRule type="containsText" dxfId="602" priority="606" operator="containsText" text="ไม่ซ่อมต่อ">
      <formula>NOT(ISERROR(SEARCH("ไม่ซ่อมต่อ",F81)))</formula>
    </cfRule>
  </conditionalFormatting>
  <conditionalFormatting sqref="F85:F90 F92:F95 F97:F108">
    <cfRule type="expression" dxfId="601" priority="571" stopIfTrue="1">
      <formula>TRIM($A81)="เสร็จแล้ว"</formula>
    </cfRule>
    <cfRule type="containsText" dxfId="600" priority="570" operator="containsText" text="ตรวจเช็ก">
      <formula>NOT(ISERROR(SEARCH("ตรวจเช็ก",F85)))</formula>
    </cfRule>
    <cfRule type="containsText" dxfId="599" priority="569" operator="containsText" text="กำลังซ่อม">
      <formula>NOT(ISERROR(SEARCH("กำลังซ่อม",F85)))</formula>
    </cfRule>
    <cfRule type="expression" dxfId="598" priority="572" stopIfTrue="1">
      <formula>TRIM($A81)="กำลังซ่อม"</formula>
    </cfRule>
    <cfRule type="expression" dxfId="597" priority="573" stopIfTrue="1">
      <formula>TRIM($A81)="ตรวจเช็ก"</formula>
    </cfRule>
  </conditionalFormatting>
  <conditionalFormatting sqref="F85:F90">
    <cfRule type="containsText" dxfId="596" priority="566" operator="containsText" text="ว่าง">
      <formula>NOT(ISERROR(SEARCH("ว่าง",F85)))</formula>
    </cfRule>
  </conditionalFormatting>
  <conditionalFormatting sqref="F91">
    <cfRule type="expression" dxfId="595" priority="470" stopIfTrue="1">
      <formula>TRIM($A87)="กำลังซ่อม"</formula>
    </cfRule>
    <cfRule type="expression" dxfId="594" priority="469" stopIfTrue="1">
      <formula>TRIM($A87)="เสร็จแล้ว"</formula>
    </cfRule>
    <cfRule type="containsText" dxfId="593" priority="467" operator="containsText" text="กำลังซ่อม">
      <formula>NOT(ISERROR(SEARCH("กำลังซ่อม",F91)))</formula>
    </cfRule>
    <cfRule type="containsText" dxfId="592" priority="466" operator="containsText" text="เสร็จแล้ว">
      <formula>NOT(ISERROR(SEARCH("เสร็จแล้ว",F91)))</formula>
    </cfRule>
    <cfRule type="expression" dxfId="591" priority="471" stopIfTrue="1">
      <formula>TRIM($A87)="ตรวจเช็ก"</formula>
    </cfRule>
    <cfRule type="containsText" dxfId="590" priority="468" operator="containsText" text="ตรวจเช็ก">
      <formula>NOT(ISERROR(SEARCH("ตรวจเช็ก",F91)))</formula>
    </cfRule>
    <cfRule type="containsText" dxfId="589" priority="464" operator="containsText" text="ไม่ซ่อมต่อ">
      <formula>NOT(ISERROR(SEARCH("ไม่ซ่อมต่อ",F91)))</formula>
    </cfRule>
    <cfRule type="containsText" dxfId="588" priority="465" operator="containsText" text="ไม่ซ่อมต่อ">
      <formula>NOT(ISERROR(SEARCH("ไม่ซ่อมต่อ",F91)))</formula>
    </cfRule>
  </conditionalFormatting>
  <conditionalFormatting sqref="F92:F95 F97:F108 F85:F90">
    <cfRule type="containsText" dxfId="587" priority="568" operator="containsText" text="เสร็จแล้ว">
      <formula>NOT(ISERROR(SEARCH("เสร็จแล้ว",F85)))</formula>
    </cfRule>
  </conditionalFormatting>
  <conditionalFormatting sqref="F96">
    <cfRule type="containsText" dxfId="586" priority="460" operator="containsText" text="ตรวจเช็ก">
      <formula>NOT(ISERROR(SEARCH("ตรวจเช็ก",F96)))</formula>
    </cfRule>
    <cfRule type="expression" dxfId="585" priority="462" stopIfTrue="1">
      <formula>TRIM($A92)="กำลังซ่อม"</formula>
    </cfRule>
    <cfRule type="expression" dxfId="584" priority="461" stopIfTrue="1">
      <formula>TRIM($A92)="เสร็จแล้ว"</formula>
    </cfRule>
    <cfRule type="containsText" dxfId="583" priority="458" operator="containsText" text="เสร็จแล้ว">
      <formula>NOT(ISERROR(SEARCH("เสร็จแล้ว",F96)))</formula>
    </cfRule>
    <cfRule type="containsText" dxfId="582" priority="457" operator="containsText" text="ไม่ซ่อมต่อ">
      <formula>NOT(ISERROR(SEARCH("ไม่ซ่อมต่อ",F96)))</formula>
    </cfRule>
    <cfRule type="containsText" dxfId="581" priority="456" operator="containsText" text="ไม่ซ่อมต่อ">
      <formula>NOT(ISERROR(SEARCH("ไม่ซ่อมต่อ",F96)))</formula>
    </cfRule>
    <cfRule type="expression" dxfId="580" priority="463" stopIfTrue="1">
      <formula>TRIM($A92)="ตรวจเช็ก"</formula>
    </cfRule>
    <cfRule type="containsText" dxfId="579" priority="459" operator="containsText" text="กำลังซ่อม">
      <formula>NOT(ISERROR(SEARCH("กำลังซ่อม",F96)))</formula>
    </cfRule>
  </conditionalFormatting>
  <conditionalFormatting sqref="F97:F108 F94:F95">
    <cfRule type="containsText" dxfId="578" priority="567" operator="containsText" text="งานแก้">
      <formula>NOT(ISERROR(SEARCH("งานแก้",F94)))</formula>
    </cfRule>
  </conditionalFormatting>
  <conditionalFormatting sqref="F100">
    <cfRule type="containsText" dxfId="577" priority="455" operator="containsText" text="ปรึกษา">
      <formula>NOT(ISERROR(SEARCH("ปรึกษา",F100)))</formula>
    </cfRule>
  </conditionalFormatting>
  <conditionalFormatting sqref="F103">
    <cfRule type="containsText" dxfId="576" priority="502" operator="containsText" text="ปรึกษา">
      <formula>NOT(ISERROR(SEARCH("ปรึกษา",F103)))</formula>
    </cfRule>
  </conditionalFormatting>
  <conditionalFormatting sqref="F104:F116">
    <cfRule type="containsText" dxfId="575" priority="533" operator="containsText" text="กำลังซ่อม">
      <formula>NOT(ISERROR(SEARCH("กำลังซ่อม",F104)))</formula>
    </cfRule>
    <cfRule type="containsText" dxfId="574" priority="532" operator="containsText" text="เสร็จแล้ว">
      <formula>NOT(ISERROR(SEARCH("เสร็จแล้ว",F104)))</formula>
    </cfRule>
    <cfRule type="containsText" dxfId="573" priority="534" operator="containsText" text="ตรวจเช็ก">
      <formula>NOT(ISERROR(SEARCH("ตรวจเช็ก",F104)))</formula>
    </cfRule>
    <cfRule type="expression" dxfId="572" priority="537" stopIfTrue="1">
      <formula>TRIM($A100)="ตรวจเช็ก"</formula>
    </cfRule>
    <cfRule type="expression" dxfId="571" priority="536" stopIfTrue="1">
      <formula>TRIM($A100)="กำลังซ่อม"</formula>
    </cfRule>
    <cfRule type="expression" dxfId="570" priority="535" stopIfTrue="1">
      <formula>TRIM($A100)="เสร็จแล้ว"</formula>
    </cfRule>
  </conditionalFormatting>
  <conditionalFormatting sqref="F111:F116">
    <cfRule type="containsText" dxfId="569" priority="531" operator="containsText" text="ไม่ซ่อมต่อ">
      <formula>NOT(ISERROR(SEARCH("ไม่ซ่อมต่อ",F111)))</formula>
    </cfRule>
    <cfRule type="containsText" dxfId="568" priority="530" operator="containsText" text="ไม่ซ่อมต่อ">
      <formula>NOT(ISERROR(SEARCH("ไม่ซ่อมต่อ",F111)))</formula>
    </cfRule>
  </conditionalFormatting>
  <conditionalFormatting sqref="F115:F116">
    <cfRule type="containsText" dxfId="567" priority="496" operator="containsText" text="เสร็จแล้ว">
      <formula>NOT(ISERROR(SEARCH("เสร็จแล้ว",F115)))</formula>
    </cfRule>
    <cfRule type="containsText" dxfId="566" priority="495" operator="containsText" text="งานแก้">
      <formula>NOT(ISERROR(SEARCH("งานแก้",F115)))</formula>
    </cfRule>
    <cfRule type="containsText" dxfId="565" priority="488" operator="containsText" text="ปรึกษา">
      <formula>NOT(ISERROR(SEARCH("ปรึกษา",F115)))</formula>
    </cfRule>
    <cfRule type="expression" dxfId="564" priority="499" stopIfTrue="1">
      <formula>TRIM($A111)="เสร็จแล้ว"</formula>
    </cfRule>
    <cfRule type="expression" dxfId="563" priority="501" stopIfTrue="1">
      <formula>TRIM($A111)="ตรวจเช็ก"</formula>
    </cfRule>
    <cfRule type="expression" dxfId="562" priority="500" stopIfTrue="1">
      <formula>TRIM($A111)="กำลังซ่อม"</formula>
    </cfRule>
    <cfRule type="containsText" dxfId="561" priority="498" operator="containsText" text="ตรวจเช็ก">
      <formula>NOT(ISERROR(SEARCH("ตรวจเช็ก",F115)))</formula>
    </cfRule>
    <cfRule type="containsText" dxfId="560" priority="497" operator="containsText" text="กำลังซ่อม">
      <formula>NOT(ISERROR(SEARCH("กำลังซ่อม",F115)))</formula>
    </cfRule>
  </conditionalFormatting>
  <conditionalFormatting sqref="F118:F119 F121:F123">
    <cfRule type="containsText" dxfId="559" priority="447" operator="containsText" text="ว่าง">
      <formula>NOT(ISERROR(SEARCH("ว่าง",F118)))</formula>
    </cfRule>
  </conditionalFormatting>
  <conditionalFormatting sqref="F118:F119 F121:F141">
    <cfRule type="containsText" dxfId="558" priority="451" operator="containsText" text="ตรวจเช็ก">
      <formula>NOT(ISERROR(SEARCH("ตรวจเช็ก",F118)))</formula>
    </cfRule>
    <cfRule type="containsText" dxfId="557" priority="450" operator="containsText" text="กำลังซ่อม">
      <formula>NOT(ISERROR(SEARCH("กำลังซ่อม",F118)))</formula>
    </cfRule>
    <cfRule type="expression" dxfId="556" priority="452" stopIfTrue="1">
      <formula>TRIM($A114)="เสร็จแล้ว"</formula>
    </cfRule>
    <cfRule type="expression" dxfId="555" priority="453" stopIfTrue="1">
      <formula>TRIM($A114)="กำลังซ่อม"</formula>
    </cfRule>
    <cfRule type="expression" dxfId="554" priority="454" stopIfTrue="1">
      <formula>TRIM($A114)="ตรวจเช็ก"</formula>
    </cfRule>
  </conditionalFormatting>
  <conditionalFormatting sqref="F120">
    <cfRule type="expression" dxfId="553" priority="356" stopIfTrue="1">
      <formula>TRIM($A116)="ตรวจเช็ก"</formula>
    </cfRule>
    <cfRule type="expression" dxfId="552" priority="355" stopIfTrue="1">
      <formula>TRIM($A116)="กำลังซ่อม"</formula>
    </cfRule>
    <cfRule type="expression" dxfId="551" priority="354" stopIfTrue="1">
      <formula>TRIM($A116)="เสร็จแล้ว"</formula>
    </cfRule>
    <cfRule type="containsText" dxfId="550" priority="353" operator="containsText" text="ตรวจเช็ก">
      <formula>NOT(ISERROR(SEARCH("ตรวจเช็ก",F120)))</formula>
    </cfRule>
    <cfRule type="containsText" dxfId="549" priority="352" operator="containsText" text="กำลังซ่อม">
      <formula>NOT(ISERROR(SEARCH("กำลังซ่อม",F120)))</formula>
    </cfRule>
    <cfRule type="containsText" dxfId="548" priority="351" operator="containsText" text="เสร็จแล้ว">
      <formula>NOT(ISERROR(SEARCH("เสร็จแล้ว",F120)))</formula>
    </cfRule>
    <cfRule type="containsText" dxfId="547" priority="350" operator="containsText" text="ไม่ซ่อมต่อ">
      <formula>NOT(ISERROR(SEARCH("ไม่ซ่อมต่อ",F120)))</formula>
    </cfRule>
    <cfRule type="containsText" dxfId="546" priority="349" operator="containsText" text="ไม่ซ่อมต่อ">
      <formula>NOT(ISERROR(SEARCH("ไม่ซ่อมต่อ",F120)))</formula>
    </cfRule>
    <cfRule type="expression" dxfId="545" priority="348" stopIfTrue="1">
      <formula>TRIM($A116)="ตรวจเช็ก"</formula>
    </cfRule>
    <cfRule type="containsText" dxfId="544" priority="341" operator="containsText" text="ปรึกษา">
      <formula>NOT(ISERROR(SEARCH("ปรึกษา",F120)))</formula>
    </cfRule>
    <cfRule type="containsText" dxfId="543" priority="342" operator="containsText" text="งานแก้">
      <formula>NOT(ISERROR(SEARCH("งานแก้",F120)))</formula>
    </cfRule>
    <cfRule type="expression" dxfId="542" priority="347" stopIfTrue="1">
      <formula>TRIM($A116)="กำลังซ่อม"</formula>
    </cfRule>
    <cfRule type="expression" dxfId="541" priority="346" stopIfTrue="1">
      <formula>TRIM($A116)="เสร็จแล้ว"</formula>
    </cfRule>
    <cfRule type="containsText" dxfId="540" priority="345" operator="containsText" text="ตรวจเช็ก">
      <formula>NOT(ISERROR(SEARCH("ตรวจเช็ก",F120)))</formula>
    </cfRule>
    <cfRule type="containsText" dxfId="539" priority="344" operator="containsText" text="กำลังซ่อม">
      <formula>NOT(ISERROR(SEARCH("กำลังซ่อม",F120)))</formula>
    </cfRule>
    <cfRule type="containsText" dxfId="538" priority="343" operator="containsText" text="เสร็จแล้ว">
      <formula>NOT(ISERROR(SEARCH("เสร็จแล้ว",F120)))</formula>
    </cfRule>
  </conditionalFormatting>
  <conditionalFormatting sqref="F121:F141 F118:F119">
    <cfRule type="containsText" dxfId="537" priority="449" operator="containsText" text="เสร็จแล้ว">
      <formula>NOT(ISERROR(SEARCH("เสร็จแล้ว",F118)))</formula>
    </cfRule>
  </conditionalFormatting>
  <conditionalFormatting sqref="F124">
    <cfRule type="containsText" dxfId="536" priority="369" operator="containsText" text="กำลังซ่อม">
      <formula>NOT(ISERROR(SEARCH("กำลังซ่อม",F124)))</formula>
    </cfRule>
    <cfRule type="containsText" dxfId="535" priority="368" operator="containsText" text="เสร็จแล้ว">
      <formula>NOT(ISERROR(SEARCH("เสร็จแล้ว",F124)))</formula>
    </cfRule>
    <cfRule type="containsText" dxfId="534" priority="367" operator="containsText" text="ไม่ซ่อมต่อ">
      <formula>NOT(ISERROR(SEARCH("ไม่ซ่อมต่อ",F124)))</formula>
    </cfRule>
    <cfRule type="containsText" dxfId="533" priority="366" operator="containsText" text="ไม่ซ่อมต่อ">
      <formula>NOT(ISERROR(SEARCH("ไม่ซ่อมต่อ",F124)))</formula>
    </cfRule>
    <cfRule type="expression" dxfId="532" priority="373" stopIfTrue="1">
      <formula>TRIM($A120)="ตรวจเช็ก"</formula>
    </cfRule>
    <cfRule type="expression" dxfId="531" priority="372" stopIfTrue="1">
      <formula>TRIM($A120)="กำลังซ่อม"</formula>
    </cfRule>
    <cfRule type="expression" dxfId="530" priority="371" stopIfTrue="1">
      <formula>TRIM($A120)="เสร็จแล้ว"</formula>
    </cfRule>
    <cfRule type="containsText" dxfId="529" priority="370" operator="containsText" text="ตรวจเช็ก">
      <formula>NOT(ISERROR(SEARCH("ตรวจเช็ก",F124)))</formula>
    </cfRule>
  </conditionalFormatting>
  <conditionalFormatting sqref="F126:F141">
    <cfRule type="containsText" dxfId="528" priority="448" operator="containsText" text="งานแก้">
      <formula>NOT(ISERROR(SEARCH("งานแก้",F126)))</formula>
    </cfRule>
  </conditionalFormatting>
  <conditionalFormatting sqref="F129:F130">
    <cfRule type="expression" dxfId="527" priority="321" stopIfTrue="1">
      <formula>TRIM($A125)="กำลังซ่อม"</formula>
    </cfRule>
    <cfRule type="containsText" dxfId="526" priority="315" operator="containsText" text="ไม่ซ่อมต่อ">
      <formula>NOT(ISERROR(SEARCH("ไม่ซ่อมต่อ",F129)))</formula>
    </cfRule>
    <cfRule type="expression" dxfId="525" priority="320" stopIfTrue="1">
      <formula>TRIM($A125)="เสร็จแล้ว"</formula>
    </cfRule>
    <cfRule type="containsText" dxfId="524" priority="318" operator="containsText" text="กำลังซ่อม">
      <formula>NOT(ISERROR(SEARCH("กำลังซ่อม",F129)))</formula>
    </cfRule>
    <cfRule type="containsText" dxfId="523" priority="316" operator="containsText" text="ไม่ซ่อมต่อ">
      <formula>NOT(ISERROR(SEARCH("ไม่ซ่อมต่อ",F129)))</formula>
    </cfRule>
    <cfRule type="containsText" dxfId="522" priority="319" operator="containsText" text="ตรวจเช็ก">
      <formula>NOT(ISERROR(SEARCH("ตรวจเช็ก",F129)))</formula>
    </cfRule>
    <cfRule type="expression" dxfId="521" priority="322" stopIfTrue="1">
      <formula>TRIM($A125)="ตรวจเช็ก"</formula>
    </cfRule>
    <cfRule type="containsText" dxfId="520" priority="317" operator="containsText" text="เสร็จแล้ว">
      <formula>NOT(ISERROR(SEARCH("เสร็จแล้ว",F129)))</formula>
    </cfRule>
  </conditionalFormatting>
  <conditionalFormatting sqref="F130">
    <cfRule type="expression" dxfId="519" priority="313" stopIfTrue="1">
      <formula>TRIM($A126)="กำลังซ่อม"</formula>
    </cfRule>
    <cfRule type="expression" dxfId="518" priority="314" stopIfTrue="1">
      <formula>TRIM($A126)="ตรวจเช็ก"</formula>
    </cfRule>
    <cfRule type="containsText" dxfId="517" priority="311" operator="containsText" text="ตรวจเช็ก">
      <formula>NOT(ISERROR(SEARCH("ตรวจเช็ก",F130)))</formula>
    </cfRule>
    <cfRule type="containsText" dxfId="516" priority="309" operator="containsText" text="เสร็จแล้ว">
      <formula>NOT(ISERROR(SEARCH("เสร็จแล้ว",F130)))</formula>
    </cfRule>
    <cfRule type="containsText" dxfId="515" priority="308" operator="containsText" text="งานแก้">
      <formula>NOT(ISERROR(SEARCH("งานแก้",F130)))</formula>
    </cfRule>
    <cfRule type="containsText" dxfId="514" priority="310" operator="containsText" text="กำลังซ่อม">
      <formula>NOT(ISERROR(SEARCH("กำลังซ่อม",F130)))</formula>
    </cfRule>
    <cfRule type="expression" dxfId="513" priority="312" stopIfTrue="1">
      <formula>TRIM($A126)="เสร็จแล้ว"</formula>
    </cfRule>
  </conditionalFormatting>
  <conditionalFormatting sqref="F130:F134">
    <cfRule type="containsText" dxfId="512" priority="307" operator="containsText" text="ปรึกษา">
      <formula>NOT(ISERROR(SEARCH("ปรึกษา",F130)))</formula>
    </cfRule>
  </conditionalFormatting>
  <conditionalFormatting sqref="F132">
    <cfRule type="containsText" dxfId="511" priority="337" operator="containsText" text="ตรวจเช็ก">
      <formula>NOT(ISERROR(SEARCH("ตรวจเช็ก",F132)))</formula>
    </cfRule>
    <cfRule type="expression" dxfId="510" priority="338" stopIfTrue="1">
      <formula>TRIM($A128)="เสร็จแล้ว"</formula>
    </cfRule>
    <cfRule type="expression" dxfId="509" priority="340" stopIfTrue="1">
      <formula>TRIM($A128)="ตรวจเช็ก"</formula>
    </cfRule>
    <cfRule type="containsText" dxfId="508" priority="335" operator="containsText" text="เสร็จแล้ว">
      <formula>NOT(ISERROR(SEARCH("เสร็จแล้ว",F132)))</formula>
    </cfRule>
    <cfRule type="expression" dxfId="507" priority="339" stopIfTrue="1">
      <formula>TRIM($A128)="กำลังซ่อม"</formula>
    </cfRule>
    <cfRule type="expression" dxfId="506" priority="331" stopIfTrue="1">
      <formula>TRIM($A128)="กำลังซ่อม"</formula>
    </cfRule>
    <cfRule type="containsText" dxfId="505" priority="326" operator="containsText" text="งานแก้">
      <formula>NOT(ISERROR(SEARCH("งานแก้",F132)))</formula>
    </cfRule>
    <cfRule type="containsText" dxfId="504" priority="327" operator="containsText" text="เสร็จแล้ว">
      <formula>NOT(ISERROR(SEARCH("เสร็จแล้ว",F132)))</formula>
    </cfRule>
    <cfRule type="containsText" dxfId="503" priority="328" operator="containsText" text="กำลังซ่อม">
      <formula>NOT(ISERROR(SEARCH("กำลังซ่อม",F132)))</formula>
    </cfRule>
    <cfRule type="containsText" dxfId="502" priority="329" operator="containsText" text="ตรวจเช็ก">
      <formula>NOT(ISERROR(SEARCH("ตรวจเช็ก",F132)))</formula>
    </cfRule>
    <cfRule type="expression" dxfId="501" priority="330" stopIfTrue="1">
      <formula>TRIM($A128)="เสร็จแล้ว"</formula>
    </cfRule>
    <cfRule type="expression" dxfId="500" priority="332" stopIfTrue="1">
      <formula>TRIM($A128)="ตรวจเช็ก"</formula>
    </cfRule>
    <cfRule type="containsText" dxfId="499" priority="333" operator="containsText" text="ไม่ซ่อมต่อ">
      <formula>NOT(ISERROR(SEARCH("ไม่ซ่อมต่อ",F132)))</formula>
    </cfRule>
    <cfRule type="containsText" dxfId="498" priority="334" operator="containsText" text="ไม่ซ่อมต่อ">
      <formula>NOT(ISERROR(SEARCH("ไม่ซ่อมต่อ",F132)))</formula>
    </cfRule>
    <cfRule type="containsText" dxfId="497" priority="336" operator="containsText" text="กำลังซ่อม">
      <formula>NOT(ISERROR(SEARCH("กำลังซ่อม",F132)))</formula>
    </cfRule>
  </conditionalFormatting>
  <conditionalFormatting sqref="F135:F147">
    <cfRule type="expression" dxfId="496" priority="418" stopIfTrue="1">
      <formula>TRIM($A131)="ตรวจเช็ก"</formula>
    </cfRule>
    <cfRule type="containsText" dxfId="495" priority="415" operator="containsText" text="ตรวจเช็ก">
      <formula>NOT(ISERROR(SEARCH("ตรวจเช็ก",F135)))</formula>
    </cfRule>
    <cfRule type="expression" dxfId="494" priority="417" stopIfTrue="1">
      <formula>TRIM($A131)="กำลังซ่อม"</formula>
    </cfRule>
    <cfRule type="expression" dxfId="493" priority="416" stopIfTrue="1">
      <formula>TRIM($A131)="เสร็จแล้ว"</formula>
    </cfRule>
    <cfRule type="containsText" dxfId="492" priority="413" operator="containsText" text="เสร็จแล้ว">
      <formula>NOT(ISERROR(SEARCH("เสร็จแล้ว",F135)))</formula>
    </cfRule>
    <cfRule type="containsText" dxfId="491" priority="414" operator="containsText" text="กำลังซ่อม">
      <formula>NOT(ISERROR(SEARCH("กำลังซ่อม",F135)))</formula>
    </cfRule>
  </conditionalFormatting>
  <conditionalFormatting sqref="F136">
    <cfRule type="containsText" dxfId="490" priority="404" operator="containsText" text="ปรึกษา">
      <formula>NOT(ISERROR(SEARCH("ปรึกษา",F136)))</formula>
    </cfRule>
  </conditionalFormatting>
  <conditionalFormatting sqref="F141:F147">
    <cfRule type="containsText" dxfId="489" priority="412" operator="containsText" text="ไม่ซ่อมต่อ">
      <formula>NOT(ISERROR(SEARCH("ไม่ซ่อมต่อ",F141)))</formula>
    </cfRule>
    <cfRule type="containsText" dxfId="488" priority="411" operator="containsText" text="ไม่ซ่อมต่อ">
      <formula>NOT(ISERROR(SEARCH("ไม่ซ่อมต่อ",F141)))</formula>
    </cfRule>
  </conditionalFormatting>
  <conditionalFormatting sqref="F145:F147">
    <cfRule type="containsText" dxfId="487" priority="398" operator="containsText" text="เสร็จแล้ว">
      <formula>NOT(ISERROR(SEARCH("เสร็จแล้ว",F145)))</formula>
    </cfRule>
    <cfRule type="containsText" dxfId="486" priority="399" operator="containsText" text="กำลังซ่อม">
      <formula>NOT(ISERROR(SEARCH("กำลังซ่อม",F145)))</formula>
    </cfRule>
    <cfRule type="containsText" dxfId="485" priority="400" operator="containsText" text="ตรวจเช็ก">
      <formula>NOT(ISERROR(SEARCH("ตรวจเช็ก",F145)))</formula>
    </cfRule>
    <cfRule type="containsText" dxfId="484" priority="397" operator="containsText" text="งานแก้">
      <formula>NOT(ISERROR(SEARCH("งานแก้",F145)))</formula>
    </cfRule>
    <cfRule type="containsText" dxfId="483" priority="390" operator="containsText" text="ปรึกษา">
      <formula>NOT(ISERROR(SEARCH("ปรึกษา",F145)))</formula>
    </cfRule>
    <cfRule type="expression" dxfId="482" priority="403" stopIfTrue="1">
      <formula>TRIM($A141)="ตรวจเช็ก"</formula>
    </cfRule>
    <cfRule type="expression" dxfId="481" priority="402" stopIfTrue="1">
      <formula>TRIM($A141)="กำลังซ่อม"</formula>
    </cfRule>
    <cfRule type="expression" dxfId="480" priority="401" stopIfTrue="1">
      <formula>TRIM($A141)="เสร็จแล้ว"</formula>
    </cfRule>
  </conditionalFormatting>
  <conditionalFormatting sqref="F148:F149 F151:F153">
    <cfRule type="containsText" dxfId="479" priority="299" operator="containsText" text="ว่าง">
      <formula>NOT(ISERROR(SEARCH("ว่าง",F148)))</formula>
    </cfRule>
  </conditionalFormatting>
  <conditionalFormatting sqref="F148:F149 F151:F167 F170:F172 F174:F190 F193">
    <cfRule type="expression" dxfId="478" priority="306" stopIfTrue="1">
      <formula>TRIM($A144)="ตรวจเช็ก"</formula>
    </cfRule>
    <cfRule type="expression" dxfId="477" priority="305" stopIfTrue="1">
      <formula>TRIM($A144)="กำลังซ่อม"</formula>
    </cfRule>
    <cfRule type="expression" dxfId="476" priority="304" stopIfTrue="1">
      <formula>TRIM($A144)="เสร็จแล้ว"</formula>
    </cfRule>
    <cfRule type="containsText" dxfId="475" priority="303" operator="containsText" text="ตรวจเช็ก">
      <formula>NOT(ISERROR(SEARCH("ตรวจเช็ก",F148)))</formula>
    </cfRule>
    <cfRule type="containsText" dxfId="474" priority="302" operator="containsText" text="กำลังซ่อม">
      <formula>NOT(ISERROR(SEARCH("กำลังซ่อม",F148)))</formula>
    </cfRule>
  </conditionalFormatting>
  <conditionalFormatting sqref="F150">
    <cfRule type="containsText" dxfId="473" priority="202" operator="containsText" text="ปรึกษา">
      <formula>NOT(ISERROR(SEARCH("ปรึกษา",F150)))</formula>
    </cfRule>
    <cfRule type="containsText" dxfId="472" priority="211" operator="containsText" text="ไม่ซ่อมต่อ">
      <formula>NOT(ISERROR(SEARCH("ไม่ซ่อมต่อ",F150)))</formula>
    </cfRule>
    <cfRule type="containsText" dxfId="471" priority="212" operator="containsText" text="เสร็จแล้ว">
      <formula>NOT(ISERROR(SEARCH("เสร็จแล้ว",F150)))</formula>
    </cfRule>
    <cfRule type="containsText" dxfId="470" priority="213" operator="containsText" text="กำลังซ่อม">
      <formula>NOT(ISERROR(SEARCH("กำลังซ่อม",F150)))</formula>
    </cfRule>
    <cfRule type="containsText" dxfId="469" priority="203" operator="containsText" text="งานแก้">
      <formula>NOT(ISERROR(SEARCH("งานแก้",F150)))</formula>
    </cfRule>
    <cfRule type="containsText" dxfId="468" priority="214" operator="containsText" text="ตรวจเช็ก">
      <formula>NOT(ISERROR(SEARCH("ตรวจเช็ก",F150)))</formula>
    </cfRule>
    <cfRule type="expression" dxfId="467" priority="215" stopIfTrue="1">
      <formula>TRIM($A146)="เสร็จแล้ว"</formula>
    </cfRule>
    <cfRule type="expression" dxfId="466" priority="216" stopIfTrue="1">
      <formula>TRIM($A146)="กำลังซ่อม"</formula>
    </cfRule>
    <cfRule type="expression" dxfId="465" priority="217" stopIfTrue="1">
      <formula>TRIM($A146)="ตรวจเช็ก"</formula>
    </cfRule>
    <cfRule type="containsText" dxfId="464" priority="204" operator="containsText" text="เสร็จแล้ว">
      <formula>NOT(ISERROR(SEARCH("เสร็จแล้ว",F150)))</formula>
    </cfRule>
    <cfRule type="containsText" dxfId="463" priority="205" operator="containsText" text="กำลังซ่อม">
      <formula>NOT(ISERROR(SEARCH("กำลังซ่อม",F150)))</formula>
    </cfRule>
    <cfRule type="containsText" dxfId="462" priority="206" operator="containsText" text="ตรวจเช็ก">
      <formula>NOT(ISERROR(SEARCH("ตรวจเช็ก",F150)))</formula>
    </cfRule>
    <cfRule type="expression" dxfId="461" priority="207" stopIfTrue="1">
      <formula>TRIM($A146)="เสร็จแล้ว"</formula>
    </cfRule>
    <cfRule type="expression" dxfId="460" priority="208" stopIfTrue="1">
      <formula>TRIM($A146)="กำลังซ่อม"</formula>
    </cfRule>
    <cfRule type="expression" dxfId="459" priority="209" stopIfTrue="1">
      <formula>TRIM($A146)="ตรวจเช็ก"</formula>
    </cfRule>
    <cfRule type="containsText" dxfId="458" priority="210" operator="containsText" text="ไม่ซ่อมต่อ">
      <formula>NOT(ISERROR(SEARCH("ไม่ซ่อมต่อ",F150)))</formula>
    </cfRule>
  </conditionalFormatting>
  <conditionalFormatting sqref="F151:F167 F170:F172 F148:F149 F174:F190 F193">
    <cfRule type="containsText" dxfId="457" priority="301" operator="containsText" text="เสร็จแล้ว">
      <formula>NOT(ISERROR(SEARCH("เสร็จแล้ว",F148)))</formula>
    </cfRule>
  </conditionalFormatting>
  <conditionalFormatting sqref="F154">
    <cfRule type="containsText" dxfId="456" priority="221" operator="containsText" text="กำลังซ่อม">
      <formula>NOT(ISERROR(SEARCH("กำลังซ่อม",F154)))</formula>
    </cfRule>
    <cfRule type="containsText" dxfId="455" priority="222" operator="containsText" text="ตรวจเช็ก">
      <formula>NOT(ISERROR(SEARCH("ตรวจเช็ก",F154)))</formula>
    </cfRule>
    <cfRule type="containsText" dxfId="454" priority="218" operator="containsText" text="ไม่ซ่อมต่อ">
      <formula>NOT(ISERROR(SEARCH("ไม่ซ่อมต่อ",F154)))</formula>
    </cfRule>
    <cfRule type="expression" dxfId="453" priority="223" stopIfTrue="1">
      <formula>TRIM($A150)="เสร็จแล้ว"</formula>
    </cfRule>
    <cfRule type="expression" dxfId="452" priority="225" stopIfTrue="1">
      <formula>TRIM($A150)="ตรวจเช็ก"</formula>
    </cfRule>
    <cfRule type="expression" dxfId="451" priority="224" stopIfTrue="1">
      <formula>TRIM($A150)="กำลังซ่อม"</formula>
    </cfRule>
    <cfRule type="containsText" dxfId="450" priority="219" operator="containsText" text="ไม่ซ่อมต่อ">
      <formula>NOT(ISERROR(SEARCH("ไม่ซ่อมต่อ",F154)))</formula>
    </cfRule>
    <cfRule type="containsText" dxfId="449" priority="220" operator="containsText" text="เสร็จแล้ว">
      <formula>NOT(ISERROR(SEARCH("เสร็จแล้ว",F154)))</formula>
    </cfRule>
  </conditionalFormatting>
  <conditionalFormatting sqref="F156:F167 F170">
    <cfRule type="containsText" dxfId="448" priority="300" operator="containsText" text="งานแก้">
      <formula>NOT(ISERROR(SEARCH("งานแก้",F156)))</formula>
    </cfRule>
  </conditionalFormatting>
  <conditionalFormatting sqref="F159:F160">
    <cfRule type="expression" dxfId="447" priority="186" stopIfTrue="1">
      <formula>TRIM($A155)="ตรวจเช็ก"</formula>
    </cfRule>
    <cfRule type="expression" dxfId="446" priority="184" stopIfTrue="1">
      <formula>TRIM($A155)="เสร็จแล้ว"</formula>
    </cfRule>
    <cfRule type="containsText" dxfId="445" priority="179" operator="containsText" text="ไม่ซ่อมต่อ">
      <formula>NOT(ISERROR(SEARCH("ไม่ซ่อมต่อ",F159)))</formula>
    </cfRule>
    <cfRule type="expression" dxfId="444" priority="185" stopIfTrue="1">
      <formula>TRIM($A155)="กำลังซ่อม"</formula>
    </cfRule>
    <cfRule type="containsText" dxfId="443" priority="181" operator="containsText" text="เสร็จแล้ว">
      <formula>NOT(ISERROR(SEARCH("เสร็จแล้ว",F159)))</formula>
    </cfRule>
    <cfRule type="containsText" dxfId="442" priority="182" operator="containsText" text="กำลังซ่อม">
      <formula>NOT(ISERROR(SEARCH("กำลังซ่อม",F159)))</formula>
    </cfRule>
    <cfRule type="containsText" dxfId="441" priority="183" operator="containsText" text="ตรวจเช็ก">
      <formula>NOT(ISERROR(SEARCH("ตรวจเช็ก",F159)))</formula>
    </cfRule>
    <cfRule type="containsText" dxfId="440" priority="180" operator="containsText" text="ไม่ซ่อมต่อ">
      <formula>NOT(ISERROR(SEARCH("ไม่ซ่อมต่อ",F159)))</formula>
    </cfRule>
  </conditionalFormatting>
  <conditionalFormatting sqref="F160">
    <cfRule type="containsText" dxfId="439" priority="172" operator="containsText" text="งานแก้">
      <formula>NOT(ISERROR(SEARCH("งานแก้",F160)))</formula>
    </cfRule>
    <cfRule type="expression" dxfId="438" priority="178" stopIfTrue="1">
      <formula>TRIM($A156)="ตรวจเช็ก"</formula>
    </cfRule>
    <cfRule type="expression" dxfId="437" priority="177" stopIfTrue="1">
      <formula>TRIM($A156)="กำลังซ่อม"</formula>
    </cfRule>
    <cfRule type="containsText" dxfId="436" priority="173" operator="containsText" text="เสร็จแล้ว">
      <formula>NOT(ISERROR(SEARCH("เสร็จแล้ว",F160)))</formula>
    </cfRule>
    <cfRule type="containsText" dxfId="435" priority="174" operator="containsText" text="กำลังซ่อม">
      <formula>NOT(ISERROR(SEARCH("กำลังซ่อม",F160)))</formula>
    </cfRule>
    <cfRule type="containsText" dxfId="434" priority="175" operator="containsText" text="ตรวจเช็ก">
      <formula>NOT(ISERROR(SEARCH("ตรวจเช็ก",F160)))</formula>
    </cfRule>
    <cfRule type="expression" dxfId="433" priority="176" stopIfTrue="1">
      <formula>TRIM($A156)="เสร็จแล้ว"</formula>
    </cfRule>
  </conditionalFormatting>
  <conditionalFormatting sqref="F160:F164">
    <cfRule type="containsText" dxfId="432" priority="171" operator="containsText" text="ปรึกษา">
      <formula>NOT(ISERROR(SEARCH("ปรึกษา",F160)))</formula>
    </cfRule>
  </conditionalFormatting>
  <conditionalFormatting sqref="F162">
    <cfRule type="containsText" dxfId="431" priority="194" operator="containsText" text="ไม่ซ่อมต่อ">
      <formula>NOT(ISERROR(SEARCH("ไม่ซ่อมต่อ",F162)))</formula>
    </cfRule>
    <cfRule type="containsText" dxfId="430" priority="195" operator="containsText" text="ไม่ซ่อมต่อ">
      <formula>NOT(ISERROR(SEARCH("ไม่ซ่อมต่อ",F162)))</formula>
    </cfRule>
    <cfRule type="containsText" dxfId="429" priority="198" operator="containsText" text="ตรวจเช็ก">
      <formula>NOT(ISERROR(SEARCH("ตรวจเช็ก",F162)))</formula>
    </cfRule>
    <cfRule type="expression" dxfId="428" priority="199" stopIfTrue="1">
      <formula>TRIM($A158)="เสร็จแล้ว"</formula>
    </cfRule>
    <cfRule type="expression" dxfId="427" priority="200" stopIfTrue="1">
      <formula>TRIM($A158)="กำลังซ่อม"</formula>
    </cfRule>
    <cfRule type="containsText" dxfId="426" priority="190" operator="containsText" text="ตรวจเช็ก">
      <formula>NOT(ISERROR(SEARCH("ตรวจเช็ก",F162)))</formula>
    </cfRule>
    <cfRule type="expression" dxfId="425" priority="201" stopIfTrue="1">
      <formula>TRIM($A158)="ตรวจเช็ก"</formula>
    </cfRule>
    <cfRule type="containsText" dxfId="424" priority="197" operator="containsText" text="กำลังซ่อม">
      <formula>NOT(ISERROR(SEARCH("กำลังซ่อม",F162)))</formula>
    </cfRule>
    <cfRule type="containsText" dxfId="423" priority="196" operator="containsText" text="เสร็จแล้ว">
      <formula>NOT(ISERROR(SEARCH("เสร็จแล้ว",F162)))</formula>
    </cfRule>
    <cfRule type="containsText" dxfId="422" priority="187" operator="containsText" text="งานแก้">
      <formula>NOT(ISERROR(SEARCH("งานแก้",F162)))</formula>
    </cfRule>
    <cfRule type="containsText" dxfId="421" priority="188" operator="containsText" text="เสร็จแล้ว">
      <formula>NOT(ISERROR(SEARCH("เสร็จแล้ว",F162)))</formula>
    </cfRule>
    <cfRule type="containsText" dxfId="420" priority="189" operator="containsText" text="กำลังซ่อม">
      <formula>NOT(ISERROR(SEARCH("กำลังซ่อม",F162)))</formula>
    </cfRule>
    <cfRule type="expression" dxfId="419" priority="191" stopIfTrue="1">
      <formula>TRIM($A158)="เสร็จแล้ว"</formula>
    </cfRule>
    <cfRule type="expression" dxfId="418" priority="192" stopIfTrue="1">
      <formula>TRIM($A158)="กำลังซ่อม"</formula>
    </cfRule>
    <cfRule type="expression" dxfId="417" priority="193" stopIfTrue="1">
      <formula>TRIM($A158)="ตรวจเช็ก"</formula>
    </cfRule>
  </conditionalFormatting>
  <conditionalFormatting sqref="F165:F170">
    <cfRule type="containsText" dxfId="416" priority="267" operator="containsText" text="ตรวจเช็ก">
      <formula>NOT(ISERROR(SEARCH("ตรวจเช็ก",F165)))</formula>
    </cfRule>
    <cfRule type="expression" dxfId="415" priority="268" stopIfTrue="1">
      <formula>TRIM($A161)="เสร็จแล้ว"</formula>
    </cfRule>
    <cfRule type="expression" dxfId="414" priority="269" stopIfTrue="1">
      <formula>TRIM($A161)="กำลังซ่อม"</formula>
    </cfRule>
    <cfRule type="containsText" dxfId="413" priority="265" operator="containsText" text="เสร็จแล้ว">
      <formula>NOT(ISERROR(SEARCH("เสร็จแล้ว",F165)))</formula>
    </cfRule>
    <cfRule type="containsText" dxfId="412" priority="266" operator="containsText" text="กำลังซ่อม">
      <formula>NOT(ISERROR(SEARCH("กำลังซ่อม",F165)))</formula>
    </cfRule>
    <cfRule type="expression" dxfId="411" priority="270" stopIfTrue="1">
      <formula>TRIM($A161)="ตรวจเช็ก"</formula>
    </cfRule>
  </conditionalFormatting>
  <conditionalFormatting sqref="F166">
    <cfRule type="containsText" dxfId="410" priority="256" operator="containsText" text="ปรึกษา">
      <formula>NOT(ISERROR(SEARCH("ปรึกษา",F166)))</formula>
    </cfRule>
  </conditionalFormatting>
  <conditionalFormatting sqref="F168:F169">
    <cfRule type="containsText" dxfId="409" priority="146" operator="containsText" text="งานแก้">
      <formula>NOT(ISERROR(SEARCH("งานแก้",F168)))</formula>
    </cfRule>
    <cfRule type="containsText" dxfId="408" priority="147" operator="containsText" text="เสร็จแล้ว">
      <formula>NOT(ISERROR(SEARCH("เสร็จแล้ว",F168)))</formula>
    </cfRule>
    <cfRule type="containsText" dxfId="407" priority="148" operator="containsText" text="กำลังซ่อม">
      <formula>NOT(ISERROR(SEARCH("กำลังซ่อม",F168)))</formula>
    </cfRule>
    <cfRule type="containsText" dxfId="406" priority="149" operator="containsText" text="ตรวจเช็ก">
      <formula>NOT(ISERROR(SEARCH("ตรวจเช็ก",F168)))</formula>
    </cfRule>
    <cfRule type="expression" dxfId="405" priority="151" stopIfTrue="1">
      <formula>TRIM($A164)="กำลังซ่อม"</formula>
    </cfRule>
    <cfRule type="expression" dxfId="404" priority="152" stopIfTrue="1">
      <formula>TRIM($A164)="ตรวจเช็ก"</formula>
    </cfRule>
    <cfRule type="expression" dxfId="403" priority="150" stopIfTrue="1">
      <formula>TRIM($A164)="เสร็จแล้ว"</formula>
    </cfRule>
    <cfRule type="containsText" dxfId="402" priority="139" operator="containsText" text="ปรึกษา">
      <formula>NOT(ISERROR(SEARCH("ปรึกษา",F168)))</formula>
    </cfRule>
    <cfRule type="containsText" dxfId="401" priority="154" operator="containsText" text="ไม่ซ่อมต่อ">
      <formula>NOT(ISERROR(SEARCH("ไม่ซ่อมต่อ",F168)))</formula>
    </cfRule>
    <cfRule type="containsText" dxfId="400" priority="153" operator="containsText" text="ไม่ซ่อมต่อ">
      <formula>NOT(ISERROR(SEARCH("ไม่ซ่อมต่อ",F168)))</formula>
    </cfRule>
  </conditionalFormatting>
  <conditionalFormatting sqref="F171:F172 F174:F176">
    <cfRule type="containsText" dxfId="399" priority="130" operator="containsText" text="ว่าง">
      <formula>NOT(ISERROR(SEARCH("ว่าง",F171)))</formula>
    </cfRule>
  </conditionalFormatting>
  <conditionalFormatting sqref="F173">
    <cfRule type="containsText" dxfId="398" priority="63" operator="containsText" text="ไม่ซ่อมต่อ">
      <formula>NOT(ISERROR(SEARCH("ไม่ซ่อมต่อ",F173)))</formula>
    </cfRule>
    <cfRule type="containsText" dxfId="397" priority="64" operator="containsText" text="ไม่ซ่อมต่อ">
      <formula>NOT(ISERROR(SEARCH("ไม่ซ่อมต่อ",F173)))</formula>
    </cfRule>
    <cfRule type="containsText" dxfId="396" priority="65" operator="containsText" text="เสร็จแล้ว">
      <formula>NOT(ISERROR(SEARCH("เสร็จแล้ว",F173)))</formula>
    </cfRule>
    <cfRule type="containsText" dxfId="395" priority="66" operator="containsText" text="กำลังซ่อม">
      <formula>NOT(ISERROR(SEARCH("กำลังซ่อม",F173)))</formula>
    </cfRule>
    <cfRule type="containsText" dxfId="394" priority="67" operator="containsText" text="ตรวจเช็ก">
      <formula>NOT(ISERROR(SEARCH("ตรวจเช็ก",F173)))</formula>
    </cfRule>
    <cfRule type="expression" dxfId="393" priority="68" stopIfTrue="1">
      <formula>TRIM($A169)="เสร็จแล้ว"</formula>
    </cfRule>
    <cfRule type="expression" dxfId="392" priority="69" stopIfTrue="1">
      <formula>TRIM($A169)="กำลังซ่อม"</formula>
    </cfRule>
    <cfRule type="expression" dxfId="391" priority="70" stopIfTrue="1">
      <formula>TRIM($A169)="ตรวจเช็ก"</formula>
    </cfRule>
    <cfRule type="containsText" dxfId="390" priority="55" operator="containsText" text="ปรึกษา">
      <formula>NOT(ISERROR(SEARCH("ปรึกษา",F173)))</formula>
    </cfRule>
    <cfRule type="containsText" dxfId="389" priority="56" operator="containsText" text="งานแก้">
      <formula>NOT(ISERROR(SEARCH("งานแก้",F173)))</formula>
    </cfRule>
    <cfRule type="containsText" dxfId="388" priority="57" operator="containsText" text="เสร็จแล้ว">
      <formula>NOT(ISERROR(SEARCH("เสร็จแล้ว",F173)))</formula>
    </cfRule>
    <cfRule type="containsText" dxfId="387" priority="58" operator="containsText" text="กำลังซ่อม">
      <formula>NOT(ISERROR(SEARCH("กำลังซ่อม",F173)))</formula>
    </cfRule>
    <cfRule type="containsText" dxfId="386" priority="59" operator="containsText" text="ตรวจเช็ก">
      <formula>NOT(ISERROR(SEARCH("ตรวจเช็ก",F173)))</formula>
    </cfRule>
    <cfRule type="expression" dxfId="385" priority="60" stopIfTrue="1">
      <formula>TRIM($A169)="เสร็จแล้ว"</formula>
    </cfRule>
    <cfRule type="expression" dxfId="384" priority="61" stopIfTrue="1">
      <formula>TRIM($A169)="กำลังซ่อม"</formula>
    </cfRule>
    <cfRule type="expression" dxfId="383" priority="62" stopIfTrue="1">
      <formula>TRIM($A169)="ตรวจเช็ก"</formula>
    </cfRule>
  </conditionalFormatting>
  <conditionalFormatting sqref="F177">
    <cfRule type="containsText" dxfId="382" priority="72" operator="containsText" text="ไม่ซ่อมต่อ">
      <formula>NOT(ISERROR(SEARCH("ไม่ซ่อมต่อ",F177)))</formula>
    </cfRule>
    <cfRule type="expression" dxfId="381" priority="78" stopIfTrue="1">
      <formula>TRIM($A173)="ตรวจเช็ก"</formula>
    </cfRule>
    <cfRule type="expression" dxfId="380" priority="77" stopIfTrue="1">
      <formula>TRIM($A173)="กำลังซ่อม"</formula>
    </cfRule>
    <cfRule type="expression" dxfId="379" priority="76" stopIfTrue="1">
      <formula>TRIM($A173)="เสร็จแล้ว"</formula>
    </cfRule>
    <cfRule type="containsText" dxfId="378" priority="75" operator="containsText" text="ตรวจเช็ก">
      <formula>NOT(ISERROR(SEARCH("ตรวจเช็ก",F177)))</formula>
    </cfRule>
    <cfRule type="containsText" dxfId="377" priority="74" operator="containsText" text="กำลังซ่อม">
      <formula>NOT(ISERROR(SEARCH("กำลังซ่อม",F177)))</formula>
    </cfRule>
    <cfRule type="containsText" dxfId="376" priority="73" operator="containsText" text="เสร็จแล้ว">
      <formula>NOT(ISERROR(SEARCH("เสร็จแล้ว",F177)))</formula>
    </cfRule>
    <cfRule type="containsText" dxfId="375" priority="71" operator="containsText" text="ไม่ซ่อมต่อ">
      <formula>NOT(ISERROR(SEARCH("ไม่ซ่อมต่อ",F177)))</formula>
    </cfRule>
  </conditionalFormatting>
  <conditionalFormatting sqref="F179:F190 F193">
    <cfRule type="containsText" dxfId="374" priority="131" operator="containsText" text="งานแก้">
      <formula>NOT(ISERROR(SEARCH("งานแก้",F179)))</formula>
    </cfRule>
  </conditionalFormatting>
  <conditionalFormatting sqref="F182:F183">
    <cfRule type="containsText" dxfId="373" priority="35" operator="containsText" text="กำลังซ่อม">
      <formula>NOT(ISERROR(SEARCH("กำลังซ่อม",F182)))</formula>
    </cfRule>
    <cfRule type="containsText" dxfId="372" priority="34" operator="containsText" text="เสร็จแล้ว">
      <formula>NOT(ISERROR(SEARCH("เสร็จแล้ว",F182)))</formula>
    </cfRule>
    <cfRule type="containsText" dxfId="371" priority="36" operator="containsText" text="ตรวจเช็ก">
      <formula>NOT(ISERROR(SEARCH("ตรวจเช็ก",F182)))</formula>
    </cfRule>
    <cfRule type="expression" dxfId="370" priority="39" stopIfTrue="1">
      <formula>TRIM($A178)="ตรวจเช็ก"</formula>
    </cfRule>
    <cfRule type="expression" dxfId="369" priority="38" stopIfTrue="1">
      <formula>TRIM($A178)="กำลังซ่อม"</formula>
    </cfRule>
    <cfRule type="expression" dxfId="368" priority="37" stopIfTrue="1">
      <formula>TRIM($A178)="เสร็จแล้ว"</formula>
    </cfRule>
    <cfRule type="containsText" dxfId="367" priority="33" operator="containsText" text="ไม่ซ่อมต่อ">
      <formula>NOT(ISERROR(SEARCH("ไม่ซ่อมต่อ",F182)))</formula>
    </cfRule>
    <cfRule type="containsText" dxfId="366" priority="32" operator="containsText" text="ไม่ซ่อมต่อ">
      <formula>NOT(ISERROR(SEARCH("ไม่ซ่อมต่อ",F182)))</formula>
    </cfRule>
  </conditionalFormatting>
  <conditionalFormatting sqref="F183">
    <cfRule type="containsText" dxfId="365" priority="28" operator="containsText" text="ตรวจเช็ก">
      <formula>NOT(ISERROR(SEARCH("ตรวจเช็ก",F183)))</formula>
    </cfRule>
    <cfRule type="expression" dxfId="364" priority="31" stopIfTrue="1">
      <formula>TRIM($A179)="ตรวจเช็ก"</formula>
    </cfRule>
    <cfRule type="expression" dxfId="363" priority="30" stopIfTrue="1">
      <formula>TRIM($A179)="กำลังซ่อม"</formula>
    </cfRule>
    <cfRule type="expression" dxfId="362" priority="29" stopIfTrue="1">
      <formula>TRIM($A179)="เสร็จแล้ว"</formula>
    </cfRule>
    <cfRule type="containsText" dxfId="361" priority="27" operator="containsText" text="กำลังซ่อม">
      <formula>NOT(ISERROR(SEARCH("กำลังซ่อม",F183)))</formula>
    </cfRule>
    <cfRule type="containsText" dxfId="360" priority="26" operator="containsText" text="เสร็จแล้ว">
      <formula>NOT(ISERROR(SEARCH("เสร็จแล้ว",F183)))</formula>
    </cfRule>
    <cfRule type="containsText" dxfId="359" priority="25" operator="containsText" text="งานแก้">
      <formula>NOT(ISERROR(SEARCH("งานแก้",F183)))</formula>
    </cfRule>
  </conditionalFormatting>
  <conditionalFormatting sqref="F183:F187">
    <cfRule type="containsText" dxfId="358" priority="24" operator="containsText" text="ปรึกษา">
      <formula>NOT(ISERROR(SEARCH("ปรึกษา",F183)))</formula>
    </cfRule>
  </conditionalFormatting>
  <conditionalFormatting sqref="F185">
    <cfRule type="expression" dxfId="357" priority="44" stopIfTrue="1">
      <formula>TRIM($A181)="เสร็จแล้ว"</formula>
    </cfRule>
    <cfRule type="containsText" dxfId="356" priority="43" operator="containsText" text="ตรวจเช็ก">
      <formula>NOT(ISERROR(SEARCH("ตรวจเช็ก",F185)))</formula>
    </cfRule>
    <cfRule type="containsText" dxfId="355" priority="40" operator="containsText" text="งานแก้">
      <formula>NOT(ISERROR(SEARCH("งานแก้",F185)))</formula>
    </cfRule>
    <cfRule type="containsText" dxfId="354" priority="42" operator="containsText" text="กำลังซ่อม">
      <formula>NOT(ISERROR(SEARCH("กำลังซ่อม",F185)))</formula>
    </cfRule>
    <cfRule type="expression" dxfId="353" priority="54" stopIfTrue="1">
      <formula>TRIM($A181)="ตรวจเช็ก"</formula>
    </cfRule>
    <cfRule type="expression" dxfId="352" priority="53" stopIfTrue="1">
      <formula>TRIM($A181)="กำลังซ่อม"</formula>
    </cfRule>
    <cfRule type="expression" dxfId="351" priority="52" stopIfTrue="1">
      <formula>TRIM($A181)="เสร็จแล้ว"</formula>
    </cfRule>
    <cfRule type="containsText" dxfId="350" priority="51" operator="containsText" text="ตรวจเช็ก">
      <formula>NOT(ISERROR(SEARCH("ตรวจเช็ก",F185)))</formula>
    </cfRule>
    <cfRule type="containsText" dxfId="349" priority="50" operator="containsText" text="กำลังซ่อม">
      <formula>NOT(ISERROR(SEARCH("กำลังซ่อม",F185)))</formula>
    </cfRule>
    <cfRule type="containsText" dxfId="348" priority="49" operator="containsText" text="เสร็จแล้ว">
      <formula>NOT(ISERROR(SEARCH("เสร็จแล้ว",F185)))</formula>
    </cfRule>
    <cfRule type="containsText" dxfId="347" priority="41" operator="containsText" text="เสร็จแล้ว">
      <formula>NOT(ISERROR(SEARCH("เสร็จแล้ว",F185)))</formula>
    </cfRule>
    <cfRule type="containsText" dxfId="346" priority="48" operator="containsText" text="ไม่ซ่อมต่อ">
      <formula>NOT(ISERROR(SEARCH("ไม่ซ่อมต่อ",F185)))</formula>
    </cfRule>
    <cfRule type="containsText" dxfId="345" priority="47" operator="containsText" text="ไม่ซ่อมต่อ">
      <formula>NOT(ISERROR(SEARCH("ไม่ซ่อมต่อ",F185)))</formula>
    </cfRule>
    <cfRule type="expression" dxfId="344" priority="46" stopIfTrue="1">
      <formula>TRIM($A181)="ตรวจเช็ก"</formula>
    </cfRule>
    <cfRule type="expression" dxfId="343" priority="45" stopIfTrue="1">
      <formula>TRIM($A181)="กำลังซ่อม"</formula>
    </cfRule>
  </conditionalFormatting>
  <conditionalFormatting sqref="F188:F193">
    <cfRule type="containsText" dxfId="342" priority="98" operator="containsText" text="ตรวจเช็ก">
      <formula>NOT(ISERROR(SEARCH("ตรวจเช็ก",F188)))</formula>
    </cfRule>
    <cfRule type="containsText" dxfId="341" priority="96" operator="containsText" text="เสร็จแล้ว">
      <formula>NOT(ISERROR(SEARCH("เสร็จแล้ว",F188)))</formula>
    </cfRule>
    <cfRule type="containsText" dxfId="340" priority="97" operator="containsText" text="กำลังซ่อม">
      <formula>NOT(ISERROR(SEARCH("กำลังซ่อม",F188)))</formula>
    </cfRule>
    <cfRule type="expression" dxfId="339" priority="99" stopIfTrue="1">
      <formula>TRIM($A184)="เสร็จแล้ว"</formula>
    </cfRule>
    <cfRule type="expression" dxfId="338" priority="100" stopIfTrue="1">
      <formula>TRIM($A184)="กำลังซ่อม"</formula>
    </cfRule>
    <cfRule type="expression" dxfId="337" priority="101" stopIfTrue="1">
      <formula>TRIM($A184)="ตรวจเช็ก"</formula>
    </cfRule>
  </conditionalFormatting>
  <conditionalFormatting sqref="F189">
    <cfRule type="containsText" dxfId="336" priority="95" operator="containsText" text="ปรึกษา">
      <formula>NOT(ISERROR(SEARCH("ปรึกษา",F189)))</formula>
    </cfRule>
  </conditionalFormatting>
  <conditionalFormatting sqref="F191:F192">
    <cfRule type="containsText" dxfId="335" priority="23" operator="containsText" text="ไม่ซ่อมต่อ">
      <formula>NOT(ISERROR(SEARCH("ไม่ซ่อมต่อ",F191)))</formula>
    </cfRule>
    <cfRule type="containsText" dxfId="334" priority="22" operator="containsText" text="ไม่ซ่อมต่อ">
      <formula>NOT(ISERROR(SEARCH("ไม่ซ่อมต่อ",F191)))</formula>
    </cfRule>
    <cfRule type="expression" dxfId="333" priority="20" stopIfTrue="1">
      <formula>TRIM($A187)="กำลังซ่อม"</formula>
    </cfRule>
    <cfRule type="expression" dxfId="332" priority="19" stopIfTrue="1">
      <formula>TRIM($A187)="เสร็จแล้ว"</formula>
    </cfRule>
    <cfRule type="containsText" dxfId="331" priority="18" operator="containsText" text="ตรวจเช็ก">
      <formula>NOT(ISERROR(SEARCH("ตรวจเช็ก",F191)))</formula>
    </cfRule>
    <cfRule type="containsText" dxfId="330" priority="17" operator="containsText" text="กำลังซ่อม">
      <formula>NOT(ISERROR(SEARCH("กำลังซ่อม",F191)))</formula>
    </cfRule>
    <cfRule type="containsText" dxfId="329" priority="16" operator="containsText" text="เสร็จแล้ว">
      <formula>NOT(ISERROR(SEARCH("เสร็จแล้ว",F191)))</formula>
    </cfRule>
    <cfRule type="containsText" dxfId="328" priority="15" operator="containsText" text="งานแก้">
      <formula>NOT(ISERROR(SEARCH("งานแก้",F191)))</formula>
    </cfRule>
    <cfRule type="containsText" dxfId="327" priority="8" operator="containsText" text="ปรึกษา">
      <formula>NOT(ISERROR(SEARCH("ปรึกษา",F191)))</formula>
    </cfRule>
    <cfRule type="expression" dxfId="326" priority="21" stopIfTrue="1">
      <formula>TRIM($A187)="ตรวจเช็ก"</formula>
    </cfRule>
  </conditionalFormatting>
  <conditionalFormatting sqref="G42:G44">
    <cfRule type="expression" dxfId="325" priority="753" stopIfTrue="1">
      <formula>TRIM($A38)="กำลังซ่อม"</formula>
    </cfRule>
    <cfRule type="expression" dxfId="324" priority="754" stopIfTrue="1">
      <formula>TRIM($A38)="ตรวจเช็ก"</formula>
    </cfRule>
    <cfRule type="containsText" dxfId="323" priority="749" operator="containsText" text="เสร็จแล้ว">
      <formula>NOT(ISERROR(SEARCH("เสร็จแล้ว",G42)))</formula>
    </cfRule>
    <cfRule type="containsText" dxfId="322" priority="750" operator="containsText" text="กำลังซ่อม">
      <formula>NOT(ISERROR(SEARCH("กำลังซ่อม",G42)))</formula>
    </cfRule>
    <cfRule type="containsText" dxfId="321" priority="751" operator="containsText" text="ตรวจเช็ก">
      <formula>NOT(ISERROR(SEARCH("ตรวจเช็ก",G42)))</formula>
    </cfRule>
    <cfRule type="expression" dxfId="320" priority="752" stopIfTrue="1">
      <formula>TRIM($A38)="เสร็จแล้ว"</formula>
    </cfRule>
  </conditionalFormatting>
  <conditionalFormatting sqref="G59">
    <cfRule type="expression" dxfId="319" priority="596" stopIfTrue="1">
      <formula>TRIM($A55)="กำลังซ่อม"</formula>
    </cfRule>
    <cfRule type="expression" dxfId="318" priority="597" stopIfTrue="1">
      <formula>TRIM($A55)="ตรวจเช็ก"</formula>
    </cfRule>
    <cfRule type="containsText" dxfId="317" priority="594" operator="containsText" text="ตรวจเช็ก">
      <formula>NOT(ISERROR(SEARCH("ตรวจเช็ก",G59)))</formula>
    </cfRule>
    <cfRule type="expression" dxfId="316" priority="595" stopIfTrue="1">
      <formula>TRIM($A55)="เสร็จแล้ว"</formula>
    </cfRule>
    <cfRule type="containsText" dxfId="315" priority="593" operator="containsText" text="กำลังซ่อม">
      <formula>NOT(ISERROR(SEARCH("กำลังซ่อม",G59)))</formula>
    </cfRule>
    <cfRule type="containsText" dxfId="314" priority="592" operator="containsText" text="เสร็จแล้ว">
      <formula>NOT(ISERROR(SEARCH("เสร็จแล้ว",G59)))</formula>
    </cfRule>
  </conditionalFormatting>
  <conditionalFormatting sqref="G61">
    <cfRule type="containsText" dxfId="313" priority="588" operator="containsText" text="ตรวจเช็ก">
      <formula>NOT(ISERROR(SEARCH("ตรวจเช็ก",G61)))</formula>
    </cfRule>
    <cfRule type="expression" dxfId="312" priority="589" stopIfTrue="1">
      <formula>TRIM($A57)="เสร็จแล้ว"</formula>
    </cfRule>
    <cfRule type="expression" dxfId="311" priority="590" stopIfTrue="1">
      <formula>TRIM($A57)="กำลังซ่อม"</formula>
    </cfRule>
    <cfRule type="expression" dxfId="310" priority="591" stopIfTrue="1">
      <formula>TRIM($A57)="ตรวจเช็ก"</formula>
    </cfRule>
    <cfRule type="containsText" dxfId="309" priority="587" operator="containsText" text="กำลังซ่อม">
      <formula>NOT(ISERROR(SEARCH("กำลังซ่อม",G61)))</formula>
    </cfRule>
    <cfRule type="containsText" dxfId="308" priority="586" operator="containsText" text="เสร็จแล้ว">
      <formula>NOT(ISERROR(SEARCH("เสร็จแล้ว",G61)))</formula>
    </cfRule>
  </conditionalFormatting>
  <conditionalFormatting sqref="G63:G75">
    <cfRule type="expression" dxfId="307" priority="577" stopIfTrue="1">
      <formula>TRIM($A59)="เสร็จแล้ว"</formula>
    </cfRule>
    <cfRule type="containsText" dxfId="306" priority="576" operator="containsText" text="ตรวจเช็ก">
      <formula>NOT(ISERROR(SEARCH("ตรวจเช็ก",G63)))</formula>
    </cfRule>
    <cfRule type="containsText" dxfId="305" priority="575" operator="containsText" text="กำลังซ่อม">
      <formula>NOT(ISERROR(SEARCH("กำลังซ่อม",G63)))</formula>
    </cfRule>
    <cfRule type="containsText" dxfId="304" priority="574" operator="containsText" text="เสร็จแล้ว">
      <formula>NOT(ISERROR(SEARCH("เสร็จแล้ว",G63)))</formula>
    </cfRule>
    <cfRule type="expression" dxfId="303" priority="578" stopIfTrue="1">
      <formula>TRIM($A59)="กำลังซ่อม"</formula>
    </cfRule>
    <cfRule type="expression" dxfId="302" priority="579" stopIfTrue="1">
      <formula>TRIM($A59)="ตรวจเช็ก"</formula>
    </cfRule>
  </conditionalFormatting>
  <conditionalFormatting sqref="G91:G107">
    <cfRule type="containsText" dxfId="301" priority="506" operator="containsText" text="ตรวจเช็ก">
      <formula>NOT(ISERROR(SEARCH("ตรวจเช็ก",G91)))</formula>
    </cfRule>
    <cfRule type="containsText" dxfId="300" priority="505" operator="containsText" text="กำลังซ่อม">
      <formula>NOT(ISERROR(SEARCH("กำลังซ่อม",G91)))</formula>
    </cfRule>
    <cfRule type="containsText" dxfId="299" priority="504" operator="containsText" text="เสร็จแล้ว">
      <formula>NOT(ISERROR(SEARCH("เสร็จแล้ว",G91)))</formula>
    </cfRule>
    <cfRule type="expression" dxfId="298" priority="508" stopIfTrue="1">
      <formula>TRIM($A87)="กำลังซ่อม"</formula>
    </cfRule>
    <cfRule type="expression" dxfId="297" priority="509" stopIfTrue="1">
      <formula>TRIM($A87)="ตรวจเช็ก"</formula>
    </cfRule>
    <cfRule type="expression" dxfId="296" priority="507" stopIfTrue="1">
      <formula>TRIM($A87)="เสร็จแล้ว"</formula>
    </cfRule>
  </conditionalFormatting>
  <conditionalFormatting sqref="G115:G116">
    <cfRule type="containsText" dxfId="295" priority="489" operator="containsText" text="เสร็จแล้ว">
      <formula>NOT(ISERROR(SEARCH("เสร็จแล้ว",G115)))</formula>
    </cfRule>
    <cfRule type="containsText" dxfId="294" priority="490" operator="containsText" text="กำลังซ่อม">
      <formula>NOT(ISERROR(SEARCH("กำลังซ่อม",G115)))</formula>
    </cfRule>
    <cfRule type="expression" dxfId="293" priority="494" stopIfTrue="1">
      <formula>TRIM($A111)="ตรวจเช็ก"</formula>
    </cfRule>
    <cfRule type="expression" dxfId="292" priority="493" stopIfTrue="1">
      <formula>TRIM($A111)="กำลังซ่อม"</formula>
    </cfRule>
    <cfRule type="expression" dxfId="291" priority="492" stopIfTrue="1">
      <formula>TRIM($A111)="เสร็จแล้ว"</formula>
    </cfRule>
    <cfRule type="containsText" dxfId="290" priority="491" operator="containsText" text="ตรวจเช็ก">
      <formula>NOT(ISERROR(SEARCH("ตรวจเช็ก",G115)))</formula>
    </cfRule>
  </conditionalFormatting>
  <conditionalFormatting sqref="G124:G140">
    <cfRule type="expression" dxfId="289" priority="410" stopIfTrue="1">
      <formula>TRIM($A120)="ตรวจเช็ก"</formula>
    </cfRule>
    <cfRule type="containsText" dxfId="288" priority="407" operator="containsText" text="ตรวจเช็ก">
      <formula>NOT(ISERROR(SEARCH("ตรวจเช็ก",G124)))</formula>
    </cfRule>
    <cfRule type="expression" dxfId="287" priority="408" stopIfTrue="1">
      <formula>TRIM($A120)="เสร็จแล้ว"</formula>
    </cfRule>
    <cfRule type="expression" dxfId="286" priority="409" stopIfTrue="1">
      <formula>TRIM($A120)="กำลังซ่อม"</formula>
    </cfRule>
    <cfRule type="containsText" dxfId="285" priority="406" operator="containsText" text="กำลังซ่อม">
      <formula>NOT(ISERROR(SEARCH("กำลังซ่อม",G124)))</formula>
    </cfRule>
    <cfRule type="containsText" dxfId="284" priority="405" operator="containsText" text="เสร็จแล้ว">
      <formula>NOT(ISERROR(SEARCH("เสร็จแล้ว",G124)))</formula>
    </cfRule>
  </conditionalFormatting>
  <conditionalFormatting sqref="G145:G147">
    <cfRule type="containsText" dxfId="283" priority="393" operator="containsText" text="ตรวจเช็ก">
      <formula>NOT(ISERROR(SEARCH("ตรวจเช็ก",G145)))</formula>
    </cfRule>
    <cfRule type="containsText" dxfId="282" priority="392" operator="containsText" text="กำลังซ่อม">
      <formula>NOT(ISERROR(SEARCH("กำลังซ่อม",G145)))</formula>
    </cfRule>
    <cfRule type="containsText" dxfId="281" priority="391" operator="containsText" text="เสร็จแล้ว">
      <formula>NOT(ISERROR(SEARCH("เสร็จแล้ว",G145)))</formula>
    </cfRule>
    <cfRule type="expression" dxfId="280" priority="396" stopIfTrue="1">
      <formula>TRIM($A141)="ตรวจเช็ก"</formula>
    </cfRule>
    <cfRule type="expression" dxfId="279" priority="395" stopIfTrue="1">
      <formula>TRIM($A141)="กำลังซ่อม"</formula>
    </cfRule>
    <cfRule type="expression" dxfId="278" priority="394" stopIfTrue="1">
      <formula>TRIM($A141)="เสร็จแล้ว"</formula>
    </cfRule>
  </conditionalFormatting>
  <conditionalFormatting sqref="G154:G170">
    <cfRule type="containsText" dxfId="277" priority="142" operator="containsText" text="ตรวจเช็ก">
      <formula>NOT(ISERROR(SEARCH("ตรวจเช็ก",G154)))</formula>
    </cfRule>
    <cfRule type="expression" dxfId="276" priority="143" stopIfTrue="1">
      <formula>TRIM($A150)="เสร็จแล้ว"</formula>
    </cfRule>
    <cfRule type="expression" dxfId="275" priority="144" stopIfTrue="1">
      <formula>TRIM($A150)="กำลังซ่อม"</formula>
    </cfRule>
    <cfRule type="containsText" dxfId="274" priority="140" operator="containsText" text="เสร็จแล้ว">
      <formula>NOT(ISERROR(SEARCH("เสร็จแล้ว",G154)))</formula>
    </cfRule>
    <cfRule type="expression" dxfId="273" priority="145" stopIfTrue="1">
      <formula>TRIM($A150)="ตรวจเช็ก"</formula>
    </cfRule>
    <cfRule type="containsText" dxfId="272" priority="141" operator="containsText" text="กำลังซ่อม">
      <formula>NOT(ISERROR(SEARCH("กำลังซ่อม",G154)))</formula>
    </cfRule>
  </conditionalFormatting>
  <conditionalFormatting sqref="G177:G193">
    <cfRule type="expression" dxfId="271" priority="14" stopIfTrue="1">
      <formula>TRIM($A173)="ตรวจเช็ก"</formula>
    </cfRule>
    <cfRule type="containsText" dxfId="270" priority="9" operator="containsText" text="เสร็จแล้ว">
      <formula>NOT(ISERROR(SEARCH("เสร็จแล้ว",G177)))</formula>
    </cfRule>
    <cfRule type="containsText" dxfId="269" priority="10" operator="containsText" text="กำลังซ่อม">
      <formula>NOT(ISERROR(SEARCH("กำลังซ่อม",G177)))</formula>
    </cfRule>
    <cfRule type="containsText" dxfId="268" priority="11" operator="containsText" text="ตรวจเช็ก">
      <formula>NOT(ISERROR(SEARCH("ตรวจเช็ก",G177)))</formula>
    </cfRule>
    <cfRule type="expression" dxfId="267" priority="12" stopIfTrue="1">
      <formula>TRIM($A173)="เสร็จแล้ว"</formula>
    </cfRule>
    <cfRule type="expression" dxfId="266" priority="13" stopIfTrue="1">
      <formula>TRIM($A173)="กำลังซ่อม"</formula>
    </cfRule>
  </conditionalFormatting>
  <conditionalFormatting sqref="H11:H13">
    <cfRule type="expression" dxfId="265" priority="820" stopIfTrue="1">
      <formula>TRIM($A7)="ตรวจเช็ก"</formula>
    </cfRule>
    <cfRule type="expression" dxfId="264" priority="819" stopIfTrue="1">
      <formula>TRIM($A7)="กำลังซ่อม"</formula>
    </cfRule>
    <cfRule type="containsText" dxfId="263" priority="815" operator="containsText" text="เสร็จแล้ว">
      <formula>NOT(ISERROR(SEARCH("เสร็จแล้ว",H11)))</formula>
    </cfRule>
    <cfRule type="containsText" dxfId="262" priority="816" operator="containsText" text="กำลังซ่อม">
      <formula>NOT(ISERROR(SEARCH("กำลังซ่อม",H11)))</formula>
    </cfRule>
    <cfRule type="containsText" dxfId="261" priority="817" operator="containsText" text="ตรวจเช็ก">
      <formula>NOT(ISERROR(SEARCH("ตรวจเช็ก",H11)))</formula>
    </cfRule>
    <cfRule type="expression" dxfId="260" priority="818" stopIfTrue="1">
      <formula>TRIM($A7)="เสร็จแล้ว"</formula>
    </cfRule>
  </conditionalFormatting>
  <conditionalFormatting sqref="H32:H34">
    <cfRule type="expression" dxfId="259" priority="706" stopIfTrue="1">
      <formula>TRIM($A28)="ตรวจเช็ก"</formula>
    </cfRule>
    <cfRule type="containsText" dxfId="258" priority="701" operator="containsText" text="เสร็จแล้ว">
      <formula>NOT(ISERROR(SEARCH("เสร็จแล้ว",H32)))</formula>
    </cfRule>
    <cfRule type="containsText" dxfId="257" priority="702" operator="containsText" text="กำลังซ่อม">
      <formula>NOT(ISERROR(SEARCH("กำลังซ่อม",H32)))</formula>
    </cfRule>
    <cfRule type="containsText" dxfId="256" priority="703" operator="containsText" text="ตรวจเช็ก">
      <formula>NOT(ISERROR(SEARCH("ตรวจเช็ก",H32)))</formula>
    </cfRule>
    <cfRule type="expression" dxfId="255" priority="704" stopIfTrue="1">
      <formula>TRIM($A28)="เสร็จแล้ว"</formula>
    </cfRule>
    <cfRule type="expression" dxfId="254" priority="705" stopIfTrue="1">
      <formula>TRIM($A28)="กำลังซ่อม"</formula>
    </cfRule>
  </conditionalFormatting>
  <conditionalFormatting sqref="I10:I12">
    <cfRule type="expression" dxfId="253" priority="783" stopIfTrue="1">
      <formula>TRIM($A6)="กำลังซ่อม"</formula>
    </cfRule>
    <cfRule type="expression" dxfId="252" priority="784" stopIfTrue="1">
      <formula>TRIM($A6)="ตรวจเช็ก"</formula>
    </cfRule>
    <cfRule type="expression" dxfId="251" priority="782" stopIfTrue="1">
      <formula>TRIM($A6)="เสร็จแล้ว"</formula>
    </cfRule>
    <cfRule type="containsText" dxfId="250" priority="781" operator="containsText" text="ตรวจเช็ก">
      <formula>NOT(ISERROR(SEARCH("ตรวจเช็ก",I10)))</formula>
    </cfRule>
    <cfRule type="containsText" dxfId="249" priority="780" operator="containsText" text="กำลังซ่อม">
      <formula>NOT(ISERROR(SEARCH("กำลังซ่อม",I10)))</formula>
    </cfRule>
    <cfRule type="containsText" dxfId="248" priority="779" operator="containsText" text="เสร็จแล้ว">
      <formula>NOT(ISERROR(SEARCH("เสร็จแล้ว",I10)))</formula>
    </cfRule>
  </conditionalFormatting>
  <conditionalFormatting sqref="I31">
    <cfRule type="containsText" dxfId="247" priority="681" operator="containsText" text="กำลังซ่อม">
      <formula>NOT(ISERROR(SEARCH("กำลังซ่อม",I31)))</formula>
    </cfRule>
    <cfRule type="containsText" dxfId="246" priority="679" operator="containsText" text="ว่าง">
      <formula>NOT(ISERROR(SEARCH("ว่าง",I31)))</formula>
    </cfRule>
    <cfRule type="containsText" dxfId="245" priority="680" operator="containsText" text="เสร็จแล้ว">
      <formula>NOT(ISERROR(SEARCH("เสร็จแล้ว",I31)))</formula>
    </cfRule>
    <cfRule type="expression" dxfId="244" priority="685" stopIfTrue="1">
      <formula>TRIM($A27)="ตรวจเช็ก"</formula>
    </cfRule>
    <cfRule type="containsText" dxfId="243" priority="682" operator="containsText" text="ตรวจเช็ก">
      <formula>NOT(ISERROR(SEARCH("ตรวจเช็ก",I31)))</formula>
    </cfRule>
    <cfRule type="expression" dxfId="242" priority="683" stopIfTrue="1">
      <formula>TRIM($A27)="เสร็จแล้ว"</formula>
    </cfRule>
    <cfRule type="expression" dxfId="241" priority="684" stopIfTrue="1">
      <formula>TRIM($A27)="กำลังซ่อม"</formula>
    </cfRule>
  </conditionalFormatting>
  <conditionalFormatting sqref="I32:I35">
    <cfRule type="containsText" dxfId="240" priority="688" operator="containsText" text="เสร็จแล้ว">
      <formula>NOT(ISERROR(SEARCH("เสร็จแล้ว",I32)))</formula>
    </cfRule>
    <cfRule type="containsText" dxfId="239" priority="689" operator="containsText" text="กำลังซ่อม">
      <formula>NOT(ISERROR(SEARCH("กำลังซ่อม",I32)))</formula>
    </cfRule>
    <cfRule type="containsText" dxfId="238" priority="690" operator="containsText" text="ตรวจเช็ก">
      <formula>NOT(ISERROR(SEARCH("ตรวจเช็ก",I32)))</formula>
    </cfRule>
    <cfRule type="expression" dxfId="237" priority="691" stopIfTrue="1">
      <formula>TRIM($A28)="เสร็จแล้ว"</formula>
    </cfRule>
    <cfRule type="expression" dxfId="236" priority="692" stopIfTrue="1">
      <formula>TRIM($A28)="กำลังซ่อม"</formula>
    </cfRule>
    <cfRule type="expression" dxfId="235" priority="693" stopIfTrue="1">
      <formula>TRIM($A28)="ตรวจเช็ก"</formula>
    </cfRule>
  </conditionalFormatting>
  <conditionalFormatting sqref="I34:I35">
    <cfRule type="containsText" dxfId="234" priority="687" operator="containsText" text="งานแก้">
      <formula>NOT(ISERROR(SEARCH("งานแก้",I34)))</formula>
    </cfRule>
  </conditionalFormatting>
  <conditionalFormatting sqref="I36">
    <cfRule type="expression" dxfId="233" priority="620" stopIfTrue="1">
      <formula>TRIM($A32)="กำลังซ่อม"</formula>
    </cfRule>
    <cfRule type="expression" dxfId="232" priority="621" stopIfTrue="1">
      <formula>TRIM($A32)="ตรวจเช็ก"</formula>
    </cfRule>
    <cfRule type="containsText" dxfId="231" priority="615" operator="containsText" text="ไม่ซ่อมต่อ">
      <formula>NOT(ISERROR(SEARCH("ไม่ซ่อมต่อ",I36)))</formula>
    </cfRule>
    <cfRule type="containsText" dxfId="230" priority="616" operator="containsText" text="เสร็จแล้ว">
      <formula>NOT(ISERROR(SEARCH("เสร็จแล้ว",I36)))</formula>
    </cfRule>
    <cfRule type="containsText" dxfId="229" priority="617" operator="containsText" text="กำลังซ่อม">
      <formula>NOT(ISERROR(SEARCH("กำลังซ่อม",I36)))</formula>
    </cfRule>
    <cfRule type="containsText" dxfId="228" priority="618" operator="containsText" text="ตรวจเช็ก">
      <formula>NOT(ISERROR(SEARCH("ตรวจเช็ก",I36)))</formula>
    </cfRule>
    <cfRule type="containsText" dxfId="227" priority="614" operator="containsText" text="ไม่ซ่อมต่อ">
      <formula>NOT(ISERROR(SEARCH("ไม่ซ่อมต่อ",I36)))</formula>
    </cfRule>
    <cfRule type="expression" dxfId="226" priority="619" stopIfTrue="1">
      <formula>TRIM($A32)="เสร็จแล้ว"</formula>
    </cfRule>
  </conditionalFormatting>
  <conditionalFormatting sqref="I56">
    <cfRule type="containsText" dxfId="225" priority="651" operator="containsText" text="ว่าง">
      <formula>NOT(ISERROR(SEARCH("ว่าง",I56)))</formula>
    </cfRule>
    <cfRule type="containsText" dxfId="224" priority="652" operator="containsText" text="เสร็จแล้ว">
      <formula>NOT(ISERROR(SEARCH("เสร็จแล้ว",I56)))</formula>
    </cfRule>
    <cfRule type="containsText" dxfId="223" priority="653" operator="containsText" text="กำลังซ่อม">
      <formula>NOT(ISERROR(SEARCH("กำลังซ่อม",I56)))</formula>
    </cfRule>
    <cfRule type="containsText" dxfId="222" priority="654" operator="containsText" text="ตรวจเช็ก">
      <formula>NOT(ISERROR(SEARCH("ตรวจเช็ก",I56)))</formula>
    </cfRule>
    <cfRule type="expression" dxfId="221" priority="655" stopIfTrue="1">
      <formula>TRIM($A52)="เสร็จแล้ว"</formula>
    </cfRule>
    <cfRule type="expression" dxfId="220" priority="656" stopIfTrue="1">
      <formula>TRIM($A52)="กำลังซ่อม"</formula>
    </cfRule>
    <cfRule type="expression" dxfId="219" priority="657" stopIfTrue="1">
      <formula>TRIM($A52)="ตรวจเช็ก"</formula>
    </cfRule>
  </conditionalFormatting>
  <conditionalFormatting sqref="I57:I60">
    <cfRule type="containsText" dxfId="218" priority="659" operator="containsText" text="เสร็จแล้ว">
      <formula>NOT(ISERROR(SEARCH("เสร็จแล้ว",I57)))</formula>
    </cfRule>
    <cfRule type="containsText" dxfId="217" priority="660" operator="containsText" text="กำลังซ่อม">
      <formula>NOT(ISERROR(SEARCH("กำลังซ่อม",I57)))</formula>
    </cfRule>
    <cfRule type="containsText" dxfId="216" priority="661" operator="containsText" text="ตรวจเช็ก">
      <formula>NOT(ISERROR(SEARCH("ตรวจเช็ก",I57)))</formula>
    </cfRule>
    <cfRule type="expression" dxfId="215" priority="662" stopIfTrue="1">
      <formula>TRIM($A53)="เสร็จแล้ว"</formula>
    </cfRule>
    <cfRule type="expression" dxfId="214" priority="664" stopIfTrue="1">
      <formula>TRIM($A53)="ตรวจเช็ก"</formula>
    </cfRule>
    <cfRule type="expression" dxfId="213" priority="663" stopIfTrue="1">
      <formula>TRIM($A53)="กำลังซ่อม"</formula>
    </cfRule>
  </conditionalFormatting>
  <conditionalFormatting sqref="I59:I60">
    <cfRule type="containsText" dxfId="212" priority="658" operator="containsText" text="งานแก้">
      <formula>NOT(ISERROR(SEARCH("งานแก้",I59)))</formula>
    </cfRule>
  </conditionalFormatting>
  <conditionalFormatting sqref="I64">
    <cfRule type="expression" dxfId="211" priority="629" stopIfTrue="1">
      <formula>TRIM($A60)="เสร็จแล้ว"</formula>
    </cfRule>
    <cfRule type="expression" dxfId="210" priority="630" stopIfTrue="1">
      <formula>TRIM($A60)="กำลังซ่อม"</formula>
    </cfRule>
    <cfRule type="containsText" dxfId="209" priority="628" operator="containsText" text="ตรวจเช็ก">
      <formula>NOT(ISERROR(SEARCH("ตรวจเช็ก",I64)))</formula>
    </cfRule>
    <cfRule type="expression" dxfId="208" priority="631" stopIfTrue="1">
      <formula>TRIM($A60)="ตรวจเช็ก"</formula>
    </cfRule>
    <cfRule type="containsText" dxfId="207" priority="625" operator="containsText" text="ว่าง">
      <formula>NOT(ISERROR(SEARCH("ว่าง",I64)))</formula>
    </cfRule>
    <cfRule type="containsText" dxfId="206" priority="626" operator="containsText" text="เสร็จแล้ว">
      <formula>NOT(ISERROR(SEARCH("เสร็จแล้ว",I64)))</formula>
    </cfRule>
    <cfRule type="containsText" dxfId="205" priority="627" operator="containsText" text="กำลังซ่อม">
      <formula>NOT(ISERROR(SEARCH("กำลังซ่อม",I64)))</formula>
    </cfRule>
  </conditionalFormatting>
  <conditionalFormatting sqref="I65:I68">
    <cfRule type="containsText" dxfId="204" priority="633" operator="containsText" text="เสร็จแล้ว">
      <formula>NOT(ISERROR(SEARCH("เสร็จแล้ว",I65)))</formula>
    </cfRule>
    <cfRule type="containsText" dxfId="203" priority="634" operator="containsText" text="กำลังซ่อม">
      <formula>NOT(ISERROR(SEARCH("กำลังซ่อม",I65)))</formula>
    </cfRule>
    <cfRule type="containsText" dxfId="202" priority="635" operator="containsText" text="ตรวจเช็ก">
      <formula>NOT(ISERROR(SEARCH("ตรวจเช็ก",I65)))</formula>
    </cfRule>
    <cfRule type="expression" dxfId="201" priority="636" stopIfTrue="1">
      <formula>TRIM($A61)="เสร็จแล้ว"</formula>
    </cfRule>
    <cfRule type="expression" dxfId="200" priority="637" stopIfTrue="1">
      <formula>TRIM($A61)="กำลังซ่อม"</formula>
    </cfRule>
    <cfRule type="expression" dxfId="199" priority="638" stopIfTrue="1">
      <formula>TRIM($A61)="ตรวจเช็ก"</formula>
    </cfRule>
  </conditionalFormatting>
  <conditionalFormatting sqref="I67:I68">
    <cfRule type="containsText" dxfId="198" priority="632" operator="containsText" text="งานแก้">
      <formula>NOT(ISERROR(SEARCH("งานแก้",I67)))</formula>
    </cfRule>
  </conditionalFormatting>
  <conditionalFormatting sqref="I69">
    <cfRule type="expression" dxfId="197" priority="604" stopIfTrue="1">
      <formula>TRIM($A65)="กำลังซ่อม"</formula>
    </cfRule>
    <cfRule type="containsText" dxfId="196" priority="602" operator="containsText" text="ตรวจเช็ก">
      <formula>NOT(ISERROR(SEARCH("ตรวจเช็ก",I69)))</formula>
    </cfRule>
    <cfRule type="containsText" dxfId="195" priority="601" operator="containsText" text="กำลังซ่อม">
      <formula>NOT(ISERROR(SEARCH("กำลังซ่อม",I69)))</formula>
    </cfRule>
    <cfRule type="containsText" dxfId="194" priority="600" operator="containsText" text="เสร็จแล้ว">
      <formula>NOT(ISERROR(SEARCH("เสร็จแล้ว",I69)))</formula>
    </cfRule>
    <cfRule type="containsText" dxfId="193" priority="599" operator="containsText" text="ไม่ซ่อมต่อ">
      <formula>NOT(ISERROR(SEARCH("ไม่ซ่อมต่อ",I69)))</formula>
    </cfRule>
    <cfRule type="containsText" dxfId="192" priority="598" operator="containsText" text="ไม่ซ่อมต่อ">
      <formula>NOT(ISERROR(SEARCH("ไม่ซ่อมต่อ",I69)))</formula>
    </cfRule>
    <cfRule type="expression" dxfId="191" priority="603" stopIfTrue="1">
      <formula>TRIM($A65)="เสร็จแล้ว"</formula>
    </cfRule>
    <cfRule type="expression" dxfId="190" priority="605" stopIfTrue="1">
      <formula>TRIM($A65)="ตรวจเช็ก"</formula>
    </cfRule>
  </conditionalFormatting>
  <conditionalFormatting sqref="I87">
    <cfRule type="containsText" dxfId="189" priority="555" operator="containsText" text="ตรวจเช็ก">
      <formula>NOT(ISERROR(SEARCH("ตรวจเช็ก",I87)))</formula>
    </cfRule>
    <cfRule type="containsText" dxfId="188" priority="553" operator="containsText" text="เสร็จแล้ว">
      <formula>NOT(ISERROR(SEARCH("เสร็จแล้ว",I87)))</formula>
    </cfRule>
    <cfRule type="containsText" dxfId="187" priority="554" operator="containsText" text="กำลังซ่อม">
      <formula>NOT(ISERROR(SEARCH("กำลังซ่อม",I87)))</formula>
    </cfRule>
    <cfRule type="containsText" dxfId="186" priority="552" operator="containsText" text="ว่าง">
      <formula>NOT(ISERROR(SEARCH("ว่าง",I87)))</formula>
    </cfRule>
    <cfRule type="expression" dxfId="185" priority="558" stopIfTrue="1">
      <formula>TRIM($A83)="ตรวจเช็ก"</formula>
    </cfRule>
    <cfRule type="expression" dxfId="184" priority="557" stopIfTrue="1">
      <formula>TRIM($A83)="กำลังซ่อม"</formula>
    </cfRule>
    <cfRule type="expression" dxfId="183" priority="556" stopIfTrue="1">
      <formula>TRIM($A83)="เสร็จแล้ว"</formula>
    </cfRule>
  </conditionalFormatting>
  <conditionalFormatting sqref="I88:I91">
    <cfRule type="containsText" dxfId="182" priority="561" operator="containsText" text="กำลังซ่อม">
      <formula>NOT(ISERROR(SEARCH("กำลังซ่อม",I88)))</formula>
    </cfRule>
    <cfRule type="containsText" dxfId="181" priority="562" operator="containsText" text="ตรวจเช็ก">
      <formula>NOT(ISERROR(SEARCH("ตรวจเช็ก",I88)))</formula>
    </cfRule>
    <cfRule type="expression" dxfId="180" priority="564" stopIfTrue="1">
      <formula>TRIM($A84)="กำลังซ่อม"</formula>
    </cfRule>
    <cfRule type="expression" dxfId="179" priority="565" stopIfTrue="1">
      <formula>TRIM($A84)="ตรวจเช็ก"</formula>
    </cfRule>
    <cfRule type="expression" dxfId="178" priority="563" stopIfTrue="1">
      <formula>TRIM($A84)="เสร็จแล้ว"</formula>
    </cfRule>
    <cfRule type="containsText" dxfId="177" priority="560" operator="containsText" text="เสร็จแล้ว">
      <formula>NOT(ISERROR(SEARCH("เสร็จแล้ว",I88)))</formula>
    </cfRule>
  </conditionalFormatting>
  <conditionalFormatting sqref="I90:I91">
    <cfRule type="containsText" dxfId="176" priority="559" operator="containsText" text="งานแก้">
      <formula>NOT(ISERROR(SEARCH("งานแก้",I90)))</formula>
    </cfRule>
  </conditionalFormatting>
  <conditionalFormatting sqref="I95">
    <cfRule type="expression" dxfId="175" priority="542" stopIfTrue="1">
      <formula>TRIM($A91)="เสร็จแล้ว"</formula>
    </cfRule>
    <cfRule type="expression" dxfId="174" priority="543" stopIfTrue="1">
      <formula>TRIM($A91)="กำลังซ่อม"</formula>
    </cfRule>
    <cfRule type="expression" dxfId="173" priority="544" stopIfTrue="1">
      <formula>TRIM($A91)="ตรวจเช็ก"</formula>
    </cfRule>
    <cfRule type="containsText" dxfId="172" priority="538" operator="containsText" text="ว่าง">
      <formula>NOT(ISERROR(SEARCH("ว่าง",I95)))</formula>
    </cfRule>
    <cfRule type="containsText" dxfId="171" priority="539" operator="containsText" text="เสร็จแล้ว">
      <formula>NOT(ISERROR(SEARCH("เสร็จแล้ว",I95)))</formula>
    </cfRule>
    <cfRule type="containsText" dxfId="170" priority="540" operator="containsText" text="กำลังซ่อม">
      <formula>NOT(ISERROR(SEARCH("กำลังซ่อม",I95)))</formula>
    </cfRule>
    <cfRule type="containsText" dxfId="169" priority="541" operator="containsText" text="ตรวจเช็ก">
      <formula>NOT(ISERROR(SEARCH("ตรวจเช็ก",I95)))</formula>
    </cfRule>
  </conditionalFormatting>
  <conditionalFormatting sqref="I96:I99">
    <cfRule type="containsText" dxfId="168" priority="547" operator="containsText" text="กำลังซ่อม">
      <formula>NOT(ISERROR(SEARCH("กำลังซ่อม",I96)))</formula>
    </cfRule>
    <cfRule type="containsText" dxfId="167" priority="548" operator="containsText" text="ตรวจเช็ก">
      <formula>NOT(ISERROR(SEARCH("ตรวจเช็ก",I96)))</formula>
    </cfRule>
    <cfRule type="expression" dxfId="166" priority="549" stopIfTrue="1">
      <formula>TRIM($A92)="เสร็จแล้ว"</formula>
    </cfRule>
    <cfRule type="expression" dxfId="165" priority="550" stopIfTrue="1">
      <formula>TRIM($A92)="กำลังซ่อม"</formula>
    </cfRule>
    <cfRule type="containsText" dxfId="164" priority="546" operator="containsText" text="เสร็จแล้ว">
      <formula>NOT(ISERROR(SEARCH("เสร็จแล้ว",I96)))</formula>
    </cfRule>
    <cfRule type="expression" dxfId="163" priority="551" stopIfTrue="1">
      <formula>TRIM($A92)="ตรวจเช็ก"</formula>
    </cfRule>
  </conditionalFormatting>
  <conditionalFormatting sqref="I98:I99">
    <cfRule type="containsText" dxfId="162" priority="545" operator="containsText" text="งานแก้">
      <formula>NOT(ISERROR(SEARCH("งานแก้",I98)))</formula>
    </cfRule>
  </conditionalFormatting>
  <conditionalFormatting sqref="I100:I101">
    <cfRule type="expression" dxfId="161" priority="487" stopIfTrue="1">
      <formula>TRIM($A96)="ตรวจเช็ก"</formula>
    </cfRule>
    <cfRule type="expression" dxfId="160" priority="486" stopIfTrue="1">
      <formula>TRIM($A96)="กำลังซ่อม"</formula>
    </cfRule>
    <cfRule type="expression" dxfId="159" priority="485" stopIfTrue="1">
      <formula>TRIM($A96)="เสร็จแล้ว"</formula>
    </cfRule>
    <cfRule type="containsText" dxfId="158" priority="484" operator="containsText" text="ตรวจเช็ก">
      <formula>NOT(ISERROR(SEARCH("ตรวจเช็ก",I100)))</formula>
    </cfRule>
    <cfRule type="containsText" dxfId="157" priority="480" operator="containsText" text="ไม่ซ่อมต่อ">
      <formula>NOT(ISERROR(SEARCH("ไม่ซ่อมต่อ",I100)))</formula>
    </cfRule>
    <cfRule type="containsText" dxfId="156" priority="482" operator="containsText" text="เสร็จแล้ว">
      <formula>NOT(ISERROR(SEARCH("เสร็จแล้ว",I100)))</formula>
    </cfRule>
    <cfRule type="containsText" dxfId="155" priority="483" operator="containsText" text="กำลังซ่อม">
      <formula>NOT(ISERROR(SEARCH("กำลังซ่อม",I100)))</formula>
    </cfRule>
    <cfRule type="containsText" dxfId="154" priority="481" operator="containsText" text="ไม่ซ่อมต่อ">
      <formula>NOT(ISERROR(SEARCH("ไม่ซ่อมต่อ",I100)))</formula>
    </cfRule>
  </conditionalFormatting>
  <conditionalFormatting sqref="I101">
    <cfRule type="expression" dxfId="153" priority="478" stopIfTrue="1">
      <formula>TRIM($A97)="กำลังซ่อม"</formula>
    </cfRule>
    <cfRule type="expression" dxfId="152" priority="479" stopIfTrue="1">
      <formula>TRIM($A97)="ตรวจเช็ก"</formula>
    </cfRule>
    <cfRule type="containsText" dxfId="151" priority="472" operator="containsText" text="ปรึกษา">
      <formula>NOT(ISERROR(SEARCH("ปรึกษา",I101)))</formula>
    </cfRule>
    <cfRule type="containsText" dxfId="150" priority="473" operator="containsText" text="งานแก้">
      <formula>NOT(ISERROR(SEARCH("งานแก้",I101)))</formula>
    </cfRule>
    <cfRule type="containsText" dxfId="149" priority="474" operator="containsText" text="เสร็จแล้ว">
      <formula>NOT(ISERROR(SEARCH("เสร็จแล้ว",I101)))</formula>
    </cfRule>
    <cfRule type="containsText" dxfId="148" priority="475" operator="containsText" text="กำลังซ่อม">
      <formula>NOT(ISERROR(SEARCH("กำลังซ่อม",I101)))</formula>
    </cfRule>
    <cfRule type="containsText" dxfId="147" priority="476" operator="containsText" text="ตรวจเช็ก">
      <formula>NOT(ISERROR(SEARCH("ตรวจเช็ก",I101)))</formula>
    </cfRule>
    <cfRule type="expression" dxfId="146" priority="477" stopIfTrue="1">
      <formula>TRIM($A97)="เสร็จแล้ว"</formula>
    </cfRule>
  </conditionalFormatting>
  <conditionalFormatting sqref="I120">
    <cfRule type="containsText" dxfId="145" priority="435" operator="containsText" text="กำลังซ่อม">
      <formula>NOT(ISERROR(SEARCH("กำลังซ่อม",I120)))</formula>
    </cfRule>
    <cfRule type="containsText" dxfId="144" priority="434" operator="containsText" text="เสร็จแล้ว">
      <formula>NOT(ISERROR(SEARCH("เสร็จแล้ว",I120)))</formula>
    </cfRule>
    <cfRule type="expression" dxfId="143" priority="439" stopIfTrue="1">
      <formula>TRIM($A116)="ตรวจเช็ก"</formula>
    </cfRule>
    <cfRule type="expression" dxfId="142" priority="438" stopIfTrue="1">
      <formula>TRIM($A116)="กำลังซ่อม"</formula>
    </cfRule>
    <cfRule type="expression" dxfId="141" priority="437" stopIfTrue="1">
      <formula>TRIM($A116)="เสร็จแล้ว"</formula>
    </cfRule>
    <cfRule type="containsText" dxfId="140" priority="436" operator="containsText" text="ตรวจเช็ก">
      <formula>NOT(ISERROR(SEARCH("ตรวจเช็ก",I120)))</formula>
    </cfRule>
    <cfRule type="containsText" dxfId="139" priority="433" operator="containsText" text="ว่าง">
      <formula>NOT(ISERROR(SEARCH("ว่าง",I120)))</formula>
    </cfRule>
  </conditionalFormatting>
  <conditionalFormatting sqref="I121:I124">
    <cfRule type="containsText" dxfId="138" priority="441" operator="containsText" text="เสร็จแล้ว">
      <formula>NOT(ISERROR(SEARCH("เสร็จแล้ว",I121)))</formula>
    </cfRule>
    <cfRule type="expression" dxfId="137" priority="444" stopIfTrue="1">
      <formula>TRIM($A117)="เสร็จแล้ว"</formula>
    </cfRule>
    <cfRule type="expression" dxfId="136" priority="446" stopIfTrue="1">
      <formula>TRIM($A117)="ตรวจเช็ก"</formula>
    </cfRule>
    <cfRule type="expression" dxfId="135" priority="445" stopIfTrue="1">
      <formula>TRIM($A117)="กำลังซ่อม"</formula>
    </cfRule>
    <cfRule type="containsText" dxfId="134" priority="443" operator="containsText" text="ตรวจเช็ก">
      <formula>NOT(ISERROR(SEARCH("ตรวจเช็ก",I121)))</formula>
    </cfRule>
    <cfRule type="containsText" dxfId="133" priority="442" operator="containsText" text="กำลังซ่อม">
      <formula>NOT(ISERROR(SEARCH("กำลังซ่อม",I121)))</formula>
    </cfRule>
  </conditionalFormatting>
  <conditionalFormatting sqref="I123:I124">
    <cfRule type="containsText" dxfId="132" priority="440" operator="containsText" text="งานแก้">
      <formula>NOT(ISERROR(SEARCH("งานแก้",I123)))</formula>
    </cfRule>
  </conditionalFormatting>
  <conditionalFormatting sqref="I128">
    <cfRule type="expression" dxfId="131" priority="425" stopIfTrue="1">
      <formula>TRIM($A124)="ตรวจเช็ก"</formula>
    </cfRule>
    <cfRule type="expression" dxfId="130" priority="424" stopIfTrue="1">
      <formula>TRIM($A124)="กำลังซ่อม"</formula>
    </cfRule>
    <cfRule type="expression" dxfId="129" priority="423" stopIfTrue="1">
      <formula>TRIM($A124)="เสร็จแล้ว"</formula>
    </cfRule>
    <cfRule type="containsText" dxfId="128" priority="419" operator="containsText" text="ว่าง">
      <formula>NOT(ISERROR(SEARCH("ว่าง",I128)))</formula>
    </cfRule>
    <cfRule type="containsText" dxfId="127" priority="420" operator="containsText" text="เสร็จแล้ว">
      <formula>NOT(ISERROR(SEARCH("เสร็จแล้ว",I128)))</formula>
    </cfRule>
    <cfRule type="containsText" dxfId="126" priority="422" operator="containsText" text="ตรวจเช็ก">
      <formula>NOT(ISERROR(SEARCH("ตรวจเช็ก",I128)))</formula>
    </cfRule>
    <cfRule type="containsText" dxfId="125" priority="421" operator="containsText" text="กำลังซ่อม">
      <formula>NOT(ISERROR(SEARCH("กำลังซ่อม",I128)))</formula>
    </cfRule>
  </conditionalFormatting>
  <conditionalFormatting sqref="I129:I132">
    <cfRule type="expression" dxfId="124" priority="432" stopIfTrue="1">
      <formula>TRIM($A125)="ตรวจเช็ก"</formula>
    </cfRule>
    <cfRule type="expression" dxfId="123" priority="431" stopIfTrue="1">
      <formula>TRIM($A125)="กำลังซ่อม"</formula>
    </cfRule>
    <cfRule type="expression" dxfId="122" priority="430" stopIfTrue="1">
      <formula>TRIM($A125)="เสร็จแล้ว"</formula>
    </cfRule>
    <cfRule type="containsText" dxfId="121" priority="429" operator="containsText" text="ตรวจเช็ก">
      <formula>NOT(ISERROR(SEARCH("ตรวจเช็ก",I129)))</formula>
    </cfRule>
    <cfRule type="containsText" dxfId="120" priority="428" operator="containsText" text="กำลังซ่อม">
      <formula>NOT(ISERROR(SEARCH("กำลังซ่อม",I129)))</formula>
    </cfRule>
    <cfRule type="containsText" dxfId="119" priority="427" operator="containsText" text="เสร็จแล้ว">
      <formula>NOT(ISERROR(SEARCH("เสร็จแล้ว",I129)))</formula>
    </cfRule>
  </conditionalFormatting>
  <conditionalFormatting sqref="I131:I132">
    <cfRule type="containsText" dxfId="118" priority="426" operator="containsText" text="งานแก้">
      <formula>NOT(ISERROR(SEARCH("งานแก้",I131)))</formula>
    </cfRule>
  </conditionalFormatting>
  <conditionalFormatting sqref="I133:I134">
    <cfRule type="containsText" dxfId="117" priority="382" operator="containsText" text="ไม่ซ่อมต่อ">
      <formula>NOT(ISERROR(SEARCH("ไม่ซ่อมต่อ",I133)))</formula>
    </cfRule>
    <cfRule type="containsText" dxfId="116" priority="383" operator="containsText" text="ไม่ซ่อมต่อ">
      <formula>NOT(ISERROR(SEARCH("ไม่ซ่อมต่อ",I133)))</formula>
    </cfRule>
    <cfRule type="containsText" dxfId="115" priority="384" operator="containsText" text="เสร็จแล้ว">
      <formula>NOT(ISERROR(SEARCH("เสร็จแล้ว",I133)))</formula>
    </cfRule>
    <cfRule type="containsText" dxfId="114" priority="385" operator="containsText" text="กำลังซ่อม">
      <formula>NOT(ISERROR(SEARCH("กำลังซ่อม",I133)))</formula>
    </cfRule>
    <cfRule type="containsText" dxfId="113" priority="386" operator="containsText" text="ตรวจเช็ก">
      <formula>NOT(ISERROR(SEARCH("ตรวจเช็ก",I133)))</formula>
    </cfRule>
    <cfRule type="expression" dxfId="112" priority="387" stopIfTrue="1">
      <formula>TRIM($A129)="เสร็จแล้ว"</formula>
    </cfRule>
    <cfRule type="expression" dxfId="111" priority="388" stopIfTrue="1">
      <formula>TRIM($A129)="กำลังซ่อม"</formula>
    </cfRule>
    <cfRule type="expression" dxfId="110" priority="389" stopIfTrue="1">
      <formula>TRIM($A129)="ตรวจเช็ก"</formula>
    </cfRule>
  </conditionalFormatting>
  <conditionalFormatting sqref="I134">
    <cfRule type="containsText" dxfId="109" priority="374" operator="containsText" text="ปรึกษา">
      <formula>NOT(ISERROR(SEARCH("ปรึกษา",I134)))</formula>
    </cfRule>
    <cfRule type="containsText" dxfId="108" priority="375" operator="containsText" text="งานแก้">
      <formula>NOT(ISERROR(SEARCH("งานแก้",I134)))</formula>
    </cfRule>
    <cfRule type="containsText" dxfId="107" priority="377" operator="containsText" text="กำลังซ่อม">
      <formula>NOT(ISERROR(SEARCH("กำลังซ่อม",I134)))</formula>
    </cfRule>
    <cfRule type="containsText" dxfId="106" priority="378" operator="containsText" text="ตรวจเช็ก">
      <formula>NOT(ISERROR(SEARCH("ตรวจเช็ก",I134)))</formula>
    </cfRule>
    <cfRule type="expression" dxfId="105" priority="379" stopIfTrue="1">
      <formula>TRIM($A130)="เสร็จแล้ว"</formula>
    </cfRule>
    <cfRule type="expression" dxfId="104" priority="380" stopIfTrue="1">
      <formula>TRIM($A130)="กำลังซ่อม"</formula>
    </cfRule>
    <cfRule type="expression" dxfId="103" priority="381" stopIfTrue="1">
      <formula>TRIM($A130)="ตรวจเช็ก"</formula>
    </cfRule>
    <cfRule type="containsText" dxfId="102" priority="376" operator="containsText" text="เสร็จแล้ว">
      <formula>NOT(ISERROR(SEARCH("เสร็จแล้ว",I134)))</formula>
    </cfRule>
  </conditionalFormatting>
  <conditionalFormatting sqref="I150">
    <cfRule type="containsText" dxfId="101" priority="286" operator="containsText" text="เสร็จแล้ว">
      <formula>NOT(ISERROR(SEARCH("เสร็จแล้ว",I150)))</formula>
    </cfRule>
    <cfRule type="containsText" dxfId="100" priority="285" operator="containsText" text="ว่าง">
      <formula>NOT(ISERROR(SEARCH("ว่าง",I150)))</formula>
    </cfRule>
    <cfRule type="expression" dxfId="99" priority="291" stopIfTrue="1">
      <formula>TRIM($A146)="ตรวจเช็ก"</formula>
    </cfRule>
    <cfRule type="expression" dxfId="98" priority="290" stopIfTrue="1">
      <formula>TRIM($A146)="กำลังซ่อม"</formula>
    </cfRule>
    <cfRule type="expression" dxfId="97" priority="289" stopIfTrue="1">
      <formula>TRIM($A146)="เสร็จแล้ว"</formula>
    </cfRule>
    <cfRule type="containsText" dxfId="96" priority="288" operator="containsText" text="ตรวจเช็ก">
      <formula>NOT(ISERROR(SEARCH("ตรวจเช็ก",I150)))</formula>
    </cfRule>
    <cfRule type="containsText" dxfId="95" priority="287" operator="containsText" text="กำลังซ่อม">
      <formula>NOT(ISERROR(SEARCH("กำลังซ่อม",I150)))</formula>
    </cfRule>
  </conditionalFormatting>
  <conditionalFormatting sqref="I151:I154">
    <cfRule type="containsText" dxfId="94" priority="294" operator="containsText" text="กำลังซ่อม">
      <formula>NOT(ISERROR(SEARCH("กำลังซ่อม",I151)))</formula>
    </cfRule>
    <cfRule type="containsText" dxfId="93" priority="293" operator="containsText" text="เสร็จแล้ว">
      <formula>NOT(ISERROR(SEARCH("เสร็จแล้ว",I151)))</formula>
    </cfRule>
    <cfRule type="expression" dxfId="92" priority="298" stopIfTrue="1">
      <formula>TRIM($A147)="ตรวจเช็ก"</formula>
    </cfRule>
    <cfRule type="containsText" dxfId="91" priority="295" operator="containsText" text="ตรวจเช็ก">
      <formula>NOT(ISERROR(SEARCH("ตรวจเช็ก",I151)))</formula>
    </cfRule>
    <cfRule type="expression" dxfId="90" priority="297" stopIfTrue="1">
      <formula>TRIM($A147)="กำลังซ่อม"</formula>
    </cfRule>
    <cfRule type="expression" dxfId="89" priority="296" stopIfTrue="1">
      <formula>TRIM($A147)="เสร็จแล้ว"</formula>
    </cfRule>
  </conditionalFormatting>
  <conditionalFormatting sqref="I153:I154">
    <cfRule type="containsText" dxfId="88" priority="292" operator="containsText" text="งานแก้">
      <formula>NOT(ISERROR(SEARCH("งานแก้",I153)))</formula>
    </cfRule>
  </conditionalFormatting>
  <conditionalFormatting sqref="I158">
    <cfRule type="containsText" dxfId="87" priority="271" operator="containsText" text="ว่าง">
      <formula>NOT(ISERROR(SEARCH("ว่าง",I158)))</formula>
    </cfRule>
  </conditionalFormatting>
  <conditionalFormatting sqref="I158:I159">
    <cfRule type="containsText" dxfId="86" priority="272" operator="containsText" text="เสร็จแล้ว">
      <formula>NOT(ISERROR(SEARCH("เสร็จแล้ว",I158)))</formula>
    </cfRule>
    <cfRule type="containsText" dxfId="85" priority="274" operator="containsText" text="ตรวจเช็ก">
      <formula>NOT(ISERROR(SEARCH("ตรวจเช็ก",I158)))</formula>
    </cfRule>
    <cfRule type="expression" dxfId="84" priority="277" stopIfTrue="1">
      <formula>TRIM($A154)="ตรวจเช็ก"</formula>
    </cfRule>
    <cfRule type="expression" dxfId="83" priority="276" stopIfTrue="1">
      <formula>TRIM($A154)="กำลังซ่อม"</formula>
    </cfRule>
    <cfRule type="expression" dxfId="82" priority="275" stopIfTrue="1">
      <formula>TRIM($A154)="เสร็จแล้ว"</formula>
    </cfRule>
    <cfRule type="containsText" dxfId="81" priority="273" operator="containsText" text="กำลังซ่อม">
      <formula>NOT(ISERROR(SEARCH("กำลังซ่อม",I158)))</formula>
    </cfRule>
  </conditionalFormatting>
  <conditionalFormatting sqref="I160">
    <cfRule type="containsText" dxfId="80" priority="134" operator="containsText" text="กำลังซ่อม">
      <formula>NOT(ISERROR(SEARCH("กำลังซ่อม",I160)))</formula>
    </cfRule>
    <cfRule type="containsText" dxfId="79" priority="135" operator="containsText" text="ตรวจเช็ก">
      <formula>NOT(ISERROR(SEARCH("ตรวจเช็ก",I160)))</formula>
    </cfRule>
    <cfRule type="expression" dxfId="78" priority="137" stopIfTrue="1">
      <formula>TRIM($A156)="กำลังซ่อม"</formula>
    </cfRule>
    <cfRule type="expression" dxfId="77" priority="138" stopIfTrue="1">
      <formula>TRIM($A156)="ตรวจเช็ก"</formula>
    </cfRule>
    <cfRule type="expression" dxfId="76" priority="136" stopIfTrue="1">
      <formula>TRIM($A156)="เสร็จแล้ว"</formula>
    </cfRule>
    <cfRule type="containsText" dxfId="75" priority="132" operator="containsText" text="งานแก้">
      <formula>NOT(ISERROR(SEARCH("งานแก้",I160)))</formula>
    </cfRule>
    <cfRule type="containsText" dxfId="74" priority="133" operator="containsText" text="เสร็จแล้ว">
      <formula>NOT(ISERROR(SEARCH("เสร็จแล้ว",I160)))</formula>
    </cfRule>
  </conditionalFormatting>
  <conditionalFormatting sqref="I161:I163">
    <cfRule type="expression" dxfId="73" priority="284" stopIfTrue="1">
      <formula>TRIM($A157)="ตรวจเช็ก"</formula>
    </cfRule>
    <cfRule type="expression" dxfId="72" priority="283" stopIfTrue="1">
      <formula>TRIM($A157)="กำลังซ่อม"</formula>
    </cfRule>
    <cfRule type="expression" dxfId="71" priority="282" stopIfTrue="1">
      <formula>TRIM($A157)="เสร็จแล้ว"</formula>
    </cfRule>
    <cfRule type="containsText" dxfId="70" priority="281" operator="containsText" text="ตรวจเช็ก">
      <formula>NOT(ISERROR(SEARCH("ตรวจเช็ก",I161)))</formula>
    </cfRule>
    <cfRule type="containsText" dxfId="69" priority="278" operator="containsText" text="งานแก้">
      <formula>NOT(ISERROR(SEARCH("งานแก้",I161)))</formula>
    </cfRule>
    <cfRule type="containsText" dxfId="68" priority="280" operator="containsText" text="กำลังซ่อม">
      <formula>NOT(ISERROR(SEARCH("กำลังซ่อม",I161)))</formula>
    </cfRule>
    <cfRule type="containsText" dxfId="67" priority="279" operator="containsText" text="เสร็จแล้ว">
      <formula>NOT(ISERROR(SEARCH("เสร็จแล้ว",I161)))</formula>
    </cfRule>
  </conditionalFormatting>
  <conditionalFormatting sqref="I163:I165">
    <cfRule type="expression" dxfId="66" priority="241" stopIfTrue="1">
      <formula>TRIM($A159)="ตรวจเช็ก"</formula>
    </cfRule>
    <cfRule type="expression" dxfId="65" priority="240" stopIfTrue="1">
      <formula>TRIM($A159)="กำลังซ่อม"</formula>
    </cfRule>
    <cfRule type="containsText" dxfId="64" priority="238" operator="containsText" text="ตรวจเช็ก">
      <formula>NOT(ISERROR(SEARCH("ตรวจเช็ก",I163)))</formula>
    </cfRule>
    <cfRule type="expression" dxfId="63" priority="239" stopIfTrue="1">
      <formula>TRIM($A159)="เสร็จแล้ว"</formula>
    </cfRule>
    <cfRule type="containsText" dxfId="62" priority="235" operator="containsText" text="ไม่ซ่อมต่อ">
      <formula>NOT(ISERROR(SEARCH("ไม่ซ่อมต่อ",I163)))</formula>
    </cfRule>
    <cfRule type="containsText" dxfId="61" priority="234" operator="containsText" text="ไม่ซ่อมต่อ">
      <formula>NOT(ISERROR(SEARCH("ไม่ซ่อมต่อ",I163)))</formula>
    </cfRule>
    <cfRule type="containsText" dxfId="60" priority="236" operator="containsText" text="เสร็จแล้ว">
      <formula>NOT(ISERROR(SEARCH("เสร็จแล้ว",I163)))</formula>
    </cfRule>
    <cfRule type="containsText" dxfId="59" priority="237" operator="containsText" text="กำลังซ่อม">
      <formula>NOT(ISERROR(SEARCH("กำลังซ่อม",I163)))</formula>
    </cfRule>
  </conditionalFormatting>
  <conditionalFormatting sqref="I164:I165">
    <cfRule type="containsText" dxfId="58" priority="226" operator="containsText" text="ปรึกษา">
      <formula>NOT(ISERROR(SEARCH("ปรึกษา",I164)))</formula>
    </cfRule>
    <cfRule type="containsText" dxfId="57" priority="227" operator="containsText" text="งานแก้">
      <formula>NOT(ISERROR(SEARCH("งานแก้",I164)))</formula>
    </cfRule>
    <cfRule type="containsText" dxfId="56" priority="229" operator="containsText" text="กำลังซ่อม">
      <formula>NOT(ISERROR(SEARCH("กำลังซ่อม",I164)))</formula>
    </cfRule>
    <cfRule type="containsText" dxfId="55" priority="228" operator="containsText" text="เสร็จแล้ว">
      <formula>NOT(ISERROR(SEARCH("เสร็จแล้ว",I164)))</formula>
    </cfRule>
    <cfRule type="expression" dxfId="54" priority="231" stopIfTrue="1">
      <formula>TRIM($A160)="เสร็จแล้ว"</formula>
    </cfRule>
    <cfRule type="expression" dxfId="53" priority="232" stopIfTrue="1">
      <formula>TRIM($A160)="กำลังซ่อม"</formula>
    </cfRule>
    <cfRule type="expression" dxfId="52" priority="233" stopIfTrue="1">
      <formula>TRIM($A160)="ตรวจเช็ก"</formula>
    </cfRule>
    <cfRule type="containsText" dxfId="51" priority="230" operator="containsText" text="ตรวจเช็ก">
      <formula>NOT(ISERROR(SEARCH("ตรวจเช็ก",I164)))</formula>
    </cfRule>
  </conditionalFormatting>
  <conditionalFormatting sqref="I173">
    <cfRule type="containsText" dxfId="50" priority="119" operator="containsText" text="ตรวจเช็ก">
      <formula>NOT(ISERROR(SEARCH("ตรวจเช็ก",I173)))</formula>
    </cfRule>
    <cfRule type="expression" dxfId="49" priority="121" stopIfTrue="1">
      <formula>TRIM($A169)="กำลังซ่อม"</formula>
    </cfRule>
    <cfRule type="expression" dxfId="48" priority="120" stopIfTrue="1">
      <formula>TRIM($A169)="เสร็จแล้ว"</formula>
    </cfRule>
    <cfRule type="containsText" dxfId="47" priority="116" operator="containsText" text="ว่าง">
      <formula>NOT(ISERROR(SEARCH("ว่าง",I173)))</formula>
    </cfRule>
    <cfRule type="containsText" dxfId="46" priority="117" operator="containsText" text="เสร็จแล้ว">
      <formula>NOT(ISERROR(SEARCH("เสร็จแล้ว",I173)))</formula>
    </cfRule>
    <cfRule type="containsText" dxfId="45" priority="118" operator="containsText" text="กำลังซ่อม">
      <formula>NOT(ISERROR(SEARCH("กำลังซ่อม",I173)))</formula>
    </cfRule>
    <cfRule type="expression" dxfId="44" priority="122" stopIfTrue="1">
      <formula>TRIM($A169)="ตรวจเช็ก"</formula>
    </cfRule>
  </conditionalFormatting>
  <conditionalFormatting sqref="I174:I177">
    <cfRule type="expression" dxfId="43" priority="129" stopIfTrue="1">
      <formula>TRIM($A170)="ตรวจเช็ก"</formula>
    </cfRule>
    <cfRule type="expression" dxfId="42" priority="128" stopIfTrue="1">
      <formula>TRIM($A170)="กำลังซ่อม"</formula>
    </cfRule>
    <cfRule type="expression" dxfId="41" priority="127" stopIfTrue="1">
      <formula>TRIM($A170)="เสร็จแล้ว"</formula>
    </cfRule>
    <cfRule type="containsText" dxfId="40" priority="125" operator="containsText" text="กำลังซ่อม">
      <formula>NOT(ISERROR(SEARCH("กำลังซ่อม",I174)))</formula>
    </cfRule>
    <cfRule type="containsText" dxfId="39" priority="124" operator="containsText" text="เสร็จแล้ว">
      <formula>NOT(ISERROR(SEARCH("เสร็จแล้ว",I174)))</formula>
    </cfRule>
    <cfRule type="containsText" dxfId="38" priority="126" operator="containsText" text="ตรวจเช็ก">
      <formula>NOT(ISERROR(SEARCH("ตรวจเช็ก",I174)))</formula>
    </cfRule>
  </conditionalFormatting>
  <conditionalFormatting sqref="I176:I177">
    <cfRule type="containsText" dxfId="37" priority="123" operator="containsText" text="งานแก้">
      <formula>NOT(ISERROR(SEARCH("งานแก้",I176)))</formula>
    </cfRule>
  </conditionalFormatting>
  <conditionalFormatting sqref="I181">
    <cfRule type="containsText" dxfId="36" priority="102" operator="containsText" text="ว่าง">
      <formula>NOT(ISERROR(SEARCH("ว่าง",I181)))</formula>
    </cfRule>
  </conditionalFormatting>
  <conditionalFormatting sqref="I181:I182">
    <cfRule type="containsText" dxfId="35" priority="105" operator="containsText" text="ตรวจเช็ก">
      <formula>NOT(ISERROR(SEARCH("ตรวจเช็ก",I181)))</formula>
    </cfRule>
    <cfRule type="expression" dxfId="34" priority="107" stopIfTrue="1">
      <formula>TRIM($A177)="กำลังซ่อม"</formula>
    </cfRule>
    <cfRule type="expression" dxfId="33" priority="106" stopIfTrue="1">
      <formula>TRIM($A177)="เสร็จแล้ว"</formula>
    </cfRule>
    <cfRule type="containsText" dxfId="32" priority="103" operator="containsText" text="เสร็จแล้ว">
      <formula>NOT(ISERROR(SEARCH("เสร็จแล้ว",I181)))</formula>
    </cfRule>
    <cfRule type="containsText" dxfId="31" priority="104" operator="containsText" text="กำลังซ่อม">
      <formula>NOT(ISERROR(SEARCH("กำลังซ่อม",I181)))</formula>
    </cfRule>
    <cfRule type="expression" dxfId="30" priority="108" stopIfTrue="1">
      <formula>TRIM($A177)="ตรวจเช็ก"</formula>
    </cfRule>
  </conditionalFormatting>
  <conditionalFormatting sqref="I183">
    <cfRule type="expression" dxfId="29" priority="7" stopIfTrue="1">
      <formula>TRIM($A179)="ตรวจเช็ก"</formula>
    </cfRule>
    <cfRule type="expression" dxfId="28" priority="6" stopIfTrue="1">
      <formula>TRIM($A179)="กำลังซ่อม"</formula>
    </cfRule>
    <cfRule type="expression" dxfId="27" priority="5" stopIfTrue="1">
      <formula>TRIM($A179)="เสร็จแล้ว"</formula>
    </cfRule>
    <cfRule type="containsText" dxfId="26" priority="4" operator="containsText" text="ตรวจเช็ก">
      <formula>NOT(ISERROR(SEARCH("ตรวจเช็ก",I183)))</formula>
    </cfRule>
    <cfRule type="containsText" dxfId="25" priority="3" operator="containsText" text="กำลังซ่อม">
      <formula>NOT(ISERROR(SEARCH("กำลังซ่อม",I183)))</formula>
    </cfRule>
    <cfRule type="containsText" dxfId="24" priority="2" operator="containsText" text="เสร็จแล้ว">
      <formula>NOT(ISERROR(SEARCH("เสร็จแล้ว",I183)))</formula>
    </cfRule>
    <cfRule type="containsText" dxfId="23" priority="1" operator="containsText" text="งานแก้">
      <formula>NOT(ISERROR(SEARCH("งานแก้",I183)))</formula>
    </cfRule>
  </conditionalFormatting>
  <conditionalFormatting sqref="I184:I186">
    <cfRule type="containsText" dxfId="22" priority="111" operator="containsText" text="กำลังซ่อม">
      <formula>NOT(ISERROR(SEARCH("กำลังซ่อม",I184)))</formula>
    </cfRule>
    <cfRule type="expression" dxfId="21" priority="113" stopIfTrue="1">
      <formula>TRIM($A180)="เสร็จแล้ว"</formula>
    </cfRule>
    <cfRule type="expression" dxfId="20" priority="114" stopIfTrue="1">
      <formula>TRIM($A180)="กำลังซ่อม"</formula>
    </cfRule>
    <cfRule type="expression" dxfId="19" priority="115" stopIfTrue="1">
      <formula>TRIM($A180)="ตรวจเช็ก"</formula>
    </cfRule>
    <cfRule type="containsText" dxfId="18" priority="112" operator="containsText" text="ตรวจเช็ก">
      <formula>NOT(ISERROR(SEARCH("ตรวจเช็ก",I184)))</formula>
    </cfRule>
    <cfRule type="containsText" dxfId="17" priority="109" operator="containsText" text="งานแก้">
      <formula>NOT(ISERROR(SEARCH("งานแก้",I184)))</formula>
    </cfRule>
    <cfRule type="containsText" dxfId="16" priority="110" operator="containsText" text="เสร็จแล้ว">
      <formula>NOT(ISERROR(SEARCH("เสร็จแล้ว",I184)))</formula>
    </cfRule>
  </conditionalFormatting>
  <conditionalFormatting sqref="I186:I188">
    <cfRule type="expression" dxfId="15" priority="94" stopIfTrue="1">
      <formula>TRIM($A182)="ตรวจเช็ก"</formula>
    </cfRule>
    <cfRule type="expression" dxfId="14" priority="92" stopIfTrue="1">
      <formula>TRIM($A182)="เสร็จแล้ว"</formula>
    </cfRule>
    <cfRule type="expression" dxfId="13" priority="93" stopIfTrue="1">
      <formula>TRIM($A182)="กำลังซ่อม"</formula>
    </cfRule>
    <cfRule type="containsText" dxfId="12" priority="91" operator="containsText" text="ตรวจเช็ก">
      <formula>NOT(ISERROR(SEARCH("ตรวจเช็ก",I186)))</formula>
    </cfRule>
    <cfRule type="containsText" dxfId="11" priority="89" operator="containsText" text="เสร็จแล้ว">
      <formula>NOT(ISERROR(SEARCH("เสร็จแล้ว",I186)))</formula>
    </cfRule>
    <cfRule type="containsText" dxfId="10" priority="90" operator="containsText" text="กำลังซ่อม">
      <formula>NOT(ISERROR(SEARCH("กำลังซ่อม",I186)))</formula>
    </cfRule>
    <cfRule type="containsText" dxfId="9" priority="88" operator="containsText" text="ไม่ซ่อมต่อ">
      <formula>NOT(ISERROR(SEARCH("ไม่ซ่อมต่อ",I186)))</formula>
    </cfRule>
    <cfRule type="containsText" dxfId="8" priority="87" operator="containsText" text="ไม่ซ่อมต่อ">
      <formula>NOT(ISERROR(SEARCH("ไม่ซ่อมต่อ",I186)))</formula>
    </cfRule>
  </conditionalFormatting>
  <conditionalFormatting sqref="I187:I188">
    <cfRule type="containsText" dxfId="7" priority="83" operator="containsText" text="ตรวจเช็ก">
      <formula>NOT(ISERROR(SEARCH("ตรวจเช็ก",I187)))</formula>
    </cfRule>
    <cfRule type="expression" dxfId="6" priority="84" stopIfTrue="1">
      <formula>TRIM($A183)="เสร็จแล้ว"</formula>
    </cfRule>
    <cfRule type="containsText" dxfId="5" priority="82" operator="containsText" text="กำลังซ่อม">
      <formula>NOT(ISERROR(SEARCH("กำลังซ่อม",I187)))</formula>
    </cfRule>
    <cfRule type="containsText" dxfId="4" priority="80" operator="containsText" text="งานแก้">
      <formula>NOT(ISERROR(SEARCH("งานแก้",I187)))</formula>
    </cfRule>
    <cfRule type="containsText" dxfId="3" priority="79" operator="containsText" text="ปรึกษา">
      <formula>NOT(ISERROR(SEARCH("ปรึกษา",I187)))</formula>
    </cfRule>
    <cfRule type="containsText" dxfId="2" priority="81" operator="containsText" text="เสร็จแล้ว">
      <formula>NOT(ISERROR(SEARCH("เสร็จแล้ว",I187)))</formula>
    </cfRule>
    <cfRule type="expression" dxfId="1" priority="86" stopIfTrue="1">
      <formula>TRIM($A183)="ตรวจเช็ก"</formula>
    </cfRule>
    <cfRule type="expression" dxfId="0" priority="85" stopIfTrue="1">
      <formula>TRIM($A183)="กำลังซ่อม"</formula>
    </cfRule>
  </conditionalFormatting>
  <dataValidations count="6">
    <dataValidation type="list" allowBlank="1" showInputMessage="1" showErrorMessage="1" sqref="G42:G44 H11:H13 F28:F40 I10:I12 H32:I34 F5:F23 I57:I59 F77:F80 I65:I67 G73:G75 F59:F71 F46:F49 I88:I90 F108:F111 I96:I98 G104:G106 F92:F95 F97:F99 F101:F102 I121:I123 F124:F129 I129:I131 G135:G136 F132:F133 F138:F141 I151:I153 I161:I162 F158:F159 G165:G166 F162:F163 F154 I159 F170 I174:I176 I184:I185 F181:F182 G188:G189 F185:F186 F177 I182 F193" xr:uid="{B724DCD0-503C-473A-B648-4858CF8DD974}">
      <formula1>"ตรวจเช็ก,กำลังซ่อม,เสร็จแล้ว"</formula1>
    </dataValidation>
    <dataValidation type="list" allowBlank="1" showInputMessage="1" showErrorMessage="1" sqref="F41:F45 I35 I60 I68 F72:F76 I91 I99 F103:F107 F100 I124 I132 F131 F134:F137 I154 F164:F167 F161 I163 I177 F187:F190 F184 I186" xr:uid="{CD3E1E65-5F55-4F01-A680-8D881A531F1A}">
      <formula1>"ตรวจเช็ก,กำลังซ่อม,เสร็จแล้ว,งานแก้"</formula1>
    </dataValidation>
    <dataValidation type="list" allowBlank="1" showInputMessage="1" showErrorMessage="1" sqref="F26:F27 I31 I56 I64 F55:F58 F53 I87 I95 F86:F90 I120 I128 F119 F121:F123 I150 I158 F149 F151:F153 I173 I181 F172 F174:F176" xr:uid="{28B8539D-33EF-46DD-BA5E-23C38CF77C1B}">
      <formula1>"ว่าง,ตรวจเช็ก,กำลังซ่อม,เสร็จแล้ว,งานแก้"</formula1>
    </dataValidation>
    <dataValidation type="list" allowBlank="1" showInputMessage="1" showErrorMessage="1" sqref="F50:F52 I36 F81:F83 I69 I100 F112:F114 F91 F96 I133 F142:F144 I164 I187" xr:uid="{98677213-9584-47C4-AB26-9F8148D9A2CB}">
      <formula1>"ตรวจเช็ก,กำลังซ่อม,เสร็จแล้ว,ไม่ซ่อมต่อ"</formula1>
    </dataValidation>
    <dataValidation type="list" allowBlank="1" showInputMessage="1" showErrorMessage="1" sqref="I101 F115:F116 I134 F130 F120 F145:F147 F168:F169 F160 F150 I165 F191:F192 F183 F173 I188" xr:uid="{023CDEAC-D6B0-4FFA-ADF6-B2888D021E02}">
      <formula1>"ตรวจเช็ก,กำลังซ่อม,เสร็จแล้ว,ปรึกษา"</formula1>
    </dataValidation>
    <dataValidation type="list" allowBlank="1" showInputMessage="1" showErrorMessage="1" sqref="F155:F157 I160 F178:F180 I183" xr:uid="{BEED38F4-B375-4CCA-8DC3-F5929EB5B83F}">
      <formula1>"ตรวจเช็ก,กำลังซ่อม,เสร็จแล้ว,รอมัดจำ"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พลวัฒน์ กุณารี</dc:creator>
  <cp:lastModifiedBy>พลวัฒน์ กุณารี</cp:lastModifiedBy>
  <dcterms:created xsi:type="dcterms:W3CDTF">2026-08-18T17:59:57Z</dcterms:created>
  <dcterms:modified xsi:type="dcterms:W3CDTF">2026-09-05T07:38:16Z</dcterms:modified>
</cp:coreProperties>
</file>