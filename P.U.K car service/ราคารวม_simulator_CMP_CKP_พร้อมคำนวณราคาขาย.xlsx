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9"/>
  <workbookPr/>
  <mc:AlternateContent xmlns:mc="http://schemas.openxmlformats.org/markup-compatibility/2006">
    <mc:Choice Requires="x15">
      <x15ac:absPath xmlns:x15ac="http://schemas.microsoft.com/office/spreadsheetml/2010/11/ac" url="C:\Users\Nice\Desktop\P.U.K car service\"/>
    </mc:Choice>
  </mc:AlternateContent>
  <xr:revisionPtr revIDLastSave="0" documentId="13_ncr:1_{CF4EA549-970E-4D62-985E-5137354DB5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สมมติฐาน" sheetId="2" r:id="rId2"/>
    <sheet name="คำนวณราคาขาย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  <c r="C34" i="1" s="1"/>
  <c r="D31" i="1"/>
  <c r="D30" i="1"/>
  <c r="H28" i="1"/>
  <c r="D16" i="1"/>
  <c r="B34" i="3"/>
  <c r="B33" i="3"/>
  <c r="B32" i="3"/>
  <c r="B31" i="3"/>
  <c r="B30" i="3"/>
  <c r="B13" i="3"/>
  <c r="B12" i="3"/>
  <c r="B11" i="3"/>
  <c r="B10" i="3"/>
  <c r="B9" i="3"/>
  <c r="B6" i="3"/>
  <c r="B5" i="3"/>
  <c r="B4" i="3"/>
  <c r="B14" i="3" s="1"/>
  <c r="B38" i="2"/>
  <c r="B37" i="2"/>
  <c r="B36" i="2"/>
  <c r="B35" i="2"/>
  <c r="B31" i="2"/>
  <c r="D21" i="2"/>
  <c r="D20" i="2"/>
  <c r="D19" i="2"/>
  <c r="D18" i="2"/>
  <c r="D17" i="2"/>
  <c r="D22" i="2" s="1"/>
  <c r="B8" i="3" s="1"/>
  <c r="B7" i="3" l="1"/>
  <c r="B17" i="3"/>
  <c r="C34" i="3" l="1"/>
  <c r="D34" i="3" s="1"/>
  <c r="E34" i="3" s="1"/>
  <c r="C30" i="3"/>
  <c r="D30" i="3" s="1"/>
  <c r="E30" i="3" s="1"/>
  <c r="C31" i="3"/>
  <c r="D31" i="3" s="1"/>
  <c r="E31" i="3" s="1"/>
  <c r="C33" i="3"/>
  <c r="D33" i="3" s="1"/>
  <c r="E33" i="3" s="1"/>
  <c r="C32" i="3"/>
  <c r="D32" i="3" s="1"/>
  <c r="E32" i="3" s="1"/>
  <c r="B18" i="3"/>
  <c r="B19" i="3" s="1"/>
  <c r="B22" i="3" l="1"/>
  <c r="B20" i="3"/>
  <c r="B21" i="3" s="1"/>
</calcChain>
</file>

<file path=xl/sharedStrings.xml><?xml version="1.0" encoding="utf-8"?>
<sst xmlns="http://schemas.openxmlformats.org/spreadsheetml/2006/main" count="181" uniqueCount="152">
  <si>
    <t>บอร์ดRP2040</t>
  </si>
  <si>
    <t>Rotary Encoder KY-040</t>
  </si>
  <si>
    <t>Switch</t>
  </si>
  <si>
    <t>หัวสีแดง switch</t>
  </si>
  <si>
    <t>OLED 1.3" I2C</t>
  </si>
  <si>
    <t>สายไฟอ่อน AWG 20</t>
  </si>
  <si>
    <t>DC to DC Buck Converter</t>
  </si>
  <si>
    <t>ตะกั่ว</t>
  </si>
  <si>
    <t>อะแดปเตอร์12V2A</t>
  </si>
  <si>
    <t>กล่องFetureBoxFB</t>
  </si>
  <si>
    <t>ยอดรวมทั้งสิ้น</t>
  </si>
  <si>
    <t>รายการซื้อของทำ Simulator CMP / CKP</t>
  </si>
  <si>
    <t>รายการ</t>
  </si>
  <si>
    <t>จำนวน</t>
  </si>
  <si>
    <t>ราคารวม (บาท)</t>
  </si>
  <si>
    <t>สมมติฐานต้นทุนและการตั้งราคาขาย</t>
  </si>
  <si>
    <t>สมมติฐานหลัก</t>
  </si>
  <si>
    <t>ค่า</t>
  </si>
  <si>
    <t>หน่วย</t>
  </si>
  <si>
    <t>แหล่งที่มา / หมายเหตุ</t>
  </si>
  <si>
    <t>เงินเดือนอ้างอิง</t>
  </si>
  <si>
    <t>บาท/เดือน</t>
  </si>
  <si>
    <t>ผู้ใช้ระบุ: เงินเดือน 17,000 บาท</t>
  </si>
  <si>
    <t>วันทำงานต่อเดือน</t>
  </si>
  <si>
    <t>วัน/เดือน</t>
  </si>
  <si>
    <t>สมมติฐานสำหรับคำนวณ ปรับได้ตามจริง</t>
  </si>
  <si>
    <t>ชั่วโมงทำงานต่อวัน</t>
  </si>
  <si>
    <t>ชั่วโมง/วัน</t>
  </si>
  <si>
    <t>สมมติฐานมาตรฐาน ปรับได้ตามจริง</t>
  </si>
  <si>
    <t>เวลาพัฒนาโปรเจกต์ (R&amp;D)</t>
  </si>
  <si>
    <t>วัน</t>
  </si>
  <si>
    <t>ผู้ใช้ระบุ: ใช้เวลาคิด/ทำโปรเจกต์ 5 วัน</t>
  </si>
  <si>
    <t>จำนวนชิ้นที่ใช้เฉลี่ยค่า R&amp;D</t>
  </si>
  <si>
    <t>ชิ้น</t>
  </si>
  <si>
    <t>แนะนำเริ่มต้น 10 ชิ้น เพื่อไม่บวกค่า R&amp;D ซ้ำเต็มจำนวนทุกชิ้น</t>
  </si>
  <si>
    <t>เวลาประกอบ + ทดสอบต่อชิ้น</t>
  </si>
  <si>
    <t>ชั่วโมง/ชิ้น</t>
  </si>
  <si>
    <t>สมมติฐาน: ประกอบ เดินสาย ทดสอบ และเก็บงาน</t>
  </si>
  <si>
    <t>ค่าเผื่อวัสดุสิ้นเปลือง/สูญเสีย</t>
  </si>
  <si>
    <t>% ของค่าวัสดุ</t>
  </si>
  <si>
    <t>เช่น เศษสาย ตะกั่ว หดรัดสาย กาว ขั้วต่อ งานแก้ไข</t>
  </si>
  <si>
    <t>เงินสำรองรับประกัน/ของเสีย</t>
  </si>
  <si>
    <t>เผื่อเคลม ซ่อม หรือเปลี่ยนชิ้นส่วน</t>
  </si>
  <si>
    <t>กำไรที่ต้องการ (Markup on cost)</t>
  </si>
  <si>
    <t>% ของต้นทุน</t>
  </si>
  <si>
    <t>ผู้ใช้ระบุ: กำไร 75% ต่อต้นทุน</t>
  </si>
  <si>
    <t>ค่าธรรมเนียมช่องทางขาย/ชำระเงิน</t>
  </si>
  <si>
    <t>% ของราคาขาย</t>
  </si>
  <si>
    <t>ตัวอย่าง 3%; ถ้าขายตรงให้เปลี่ยนเป็น 0%</t>
  </si>
  <si>
    <t>ค่าเสื่อมเครื่องมือ</t>
  </si>
  <si>
    <t>ราคาซื้อโดยประมาณ (บาท)</t>
  </si>
  <si>
    <t>อายุใช้งาน (ชิ้น)</t>
  </si>
  <si>
    <t>ค่าเสื่อม/ชิ้น (บาท)</t>
  </si>
  <si>
    <t>หัวแร้ง/สถานีบัดกรี</t>
  </si>
  <si>
    <t>มัลติมิเตอร์</t>
  </si>
  <si>
    <t>คีมตัด/ปอกสาย</t>
  </si>
  <si>
    <t>สว่าน/เครื่องมือเจาะกล่อง</t>
  </si>
  <si>
    <t>เครื่องมือย่อยอื่น ๆ</t>
  </si>
  <si>
    <t>รวมค่าเสื่อมเครื่องมือต่อชิ้น</t>
  </si>
  <si>
    <t>ค่าใช้จ่ายอื่นต่อชิ้น</t>
  </si>
  <si>
    <t>ค่าใช้จ่าย (บาท)</t>
  </si>
  <si>
    <t>หมายเหตุ</t>
  </si>
  <si>
    <t>บรรจุภัณฑ์/กล่องส่งสินค้า</t>
  </si>
  <si>
    <t>กล่อง กันกระแทก เทป</t>
  </si>
  <si>
    <t>สติ๊กเกอร์/ฉลาก/คู่มือ</t>
  </si>
  <si>
    <t>ป้ายสินค้า คู่มือการต่อ/ใช้งาน</t>
  </si>
  <si>
    <t>ค่าไฟฟ้าระหว่างประกอบ/ทดสอบ</t>
  </si>
  <si>
    <t>หัวแร้ง คอมพิวเตอร์ อุปกรณ์ทดสอบ</t>
  </si>
  <si>
    <t>ค่าเดินทาง/จัดซื้อเฉลี่ย</t>
  </si>
  <si>
    <t>เฉลี่ยค่ารับของ/เดินทางซื้ออุปกรณ์</t>
  </si>
  <si>
    <t>งานธุรการ/ประสานงานหลังการขาย</t>
  </si>
  <si>
    <t>คุยลูกค้า เตรียมเอกสาร ตอบคำถาม</t>
  </si>
  <si>
    <t>รวมค่าใช้จ่ายอื่นต่อชิ้น</t>
  </si>
  <si>
    <t>การคำนวณค่าแรง</t>
  </si>
  <si>
    <t>ผลลัพธ์</t>
  </si>
  <si>
    <t>สูตร</t>
  </si>
  <si>
    <t>ค่าแรงต่อวัน</t>
  </si>
  <si>
    <t>บาท/วัน</t>
  </si>
  <si>
    <t>เงินเดือน ÷ วันทำงาน</t>
  </si>
  <si>
    <t>ค่าแรง R&amp;D 5 วันรวม</t>
  </si>
  <si>
    <t>บาท</t>
  </si>
  <si>
    <t>ค่าแรงต่อวัน × วันพัฒนา</t>
  </si>
  <si>
    <t>ค่าแรงต่อชั่วโมง</t>
  </si>
  <si>
    <t>บาท/ชั่วโมง</t>
  </si>
  <si>
    <t>เงินเดือน ÷ (วันทำงาน × ชั่วโมง/วัน)</t>
  </si>
  <si>
    <t>ค่า R&amp;D ต่อชิ้น (เฉลี่ย 10 ชิ้น)</t>
  </si>
  <si>
    <t>บาท/ชิ้น</t>
  </si>
  <si>
    <t>ค่าแรง R&amp;D รวม ÷ จำนวนชิ้นเฉลี่ย</t>
  </si>
  <si>
    <t>สรุปต้นทุนและราคาขาย Simulator CMP / CKP</t>
  </si>
  <si>
    <t>รายการต้นทุนต่อชิ้น</t>
  </si>
  <si>
    <t>จำนวนเงิน (บาท)</t>
  </si>
  <si>
    <t>สูตร/ที่มา</t>
  </si>
  <si>
    <t>ค่าวัสดุจาก BOM</t>
  </si>
  <si>
    <t>อ้างอิง Sheet1!D15</t>
  </si>
  <si>
    <t>ต้นทุนอุปกรณ์จริงตามไฟล์เดิม</t>
  </si>
  <si>
    <t>ค่าแรง R&amp;D ต่อชิ้น</t>
  </si>
  <si>
    <t>เงินเดือน ÷ วันทำงาน × 5 วัน ÷ จำนวนชิ้นเฉลี่ย</t>
  </si>
  <si>
    <t>เฉลี่ยค่าออกแบบ/เขียนโค้ด/ทดลอง</t>
  </si>
  <si>
    <t>ค่าแรงประกอบ + ทดสอบ</t>
  </si>
  <si>
    <t>ค่าแรง/ชั่วโมง × ชั่วโมงประกอบ</t>
  </si>
  <si>
    <t>ประกอบ เดินสาย ทดสอบ เก็บงาน</t>
  </si>
  <si>
    <t>วัสดุสิ้นเปลือง/สูญเสีย</t>
  </si>
  <si>
    <t>% × ค่าวัสดุ</t>
  </si>
  <si>
    <t>เศษสาย ตะกั่ว อุปกรณ์จุกจิก งานแก้ไข</t>
  </si>
  <si>
    <t>ค่าเสื่อมเครื่องมือต่อชิ้น</t>
  </si>
  <si>
    <t>รวมจากชีตสมมติฐาน</t>
  </si>
  <si>
    <t>หัวแร้ง มัลติมิเตอร์ คีม สว่าน ฯลฯ</t>
  </si>
  <si>
    <t>บรรจุภัณฑ์/กล่องส่ง</t>
  </si>
  <si>
    <t>จากชีตสมมติฐาน</t>
  </si>
  <si>
    <t>ค่าไฟฟ้า</t>
  </si>
  <si>
    <t>ธุรการ/หลังการขาย</t>
  </si>
  <si>
    <t>สำรองเผื่อเคลม/ซ่อม</t>
  </si>
  <si>
    <t>สรุปราคา</t>
  </si>
  <si>
    <t>ต้นทุนรวมต่อชิ้น</t>
  </si>
  <si>
    <t>กำไร 75% ของต้นทุน</t>
  </si>
  <si>
    <t>ราคาขายตรง (ก่อนค่าธรรมเนียม)</t>
  </si>
  <si>
    <t>ราคาขายหลังเผื่อค่าธรรมเนียมช่องทาง</t>
  </si>
  <si>
    <t>ราคาขายแนะนำ (ปัดลงท้าย 90)</t>
  </si>
  <si>
    <t>Gross margin ที่เกิดขึ้นจริง</t>
  </si>
  <si>
    <t>ความหมายของกำไร 75%</t>
  </si>
  <si>
    <t>ผลกระทบ</t>
  </si>
  <si>
    <t>Markup 75% ของต้นทุน (ใช้ในไฟล์นี้)</t>
  </si>
  <si>
    <t>ราคาขาย = ต้นทุน × 1.75</t>
  </si>
  <si>
    <t>Gross margin ≈ 42.9%</t>
  </si>
  <si>
    <t>ตรงกับคำว่า 'กำไร 75% ต่อต้นทุน'</t>
  </si>
  <si>
    <t>Gross margin 75% ของราคาขาย</t>
  </si>
  <si>
    <t>ราคาขาย = ต้นทุน ÷ 0.25</t>
  </si>
  <si>
    <t>ราคาจะสูงมาก ≈ 4 เท่าต้นทุน</t>
  </si>
  <si>
    <t>ใช้เฉพาะถ้าต้องการกำไรคิดจากราคาขายจริง ๆ</t>
  </si>
  <si>
    <t>จำนวนชิ้นที่เฉลี่ย R&amp;D</t>
  </si>
  <si>
    <t>ค่า R&amp;D/ชิ้น</t>
  </si>
  <si>
    <t>ต้นทุนรวม/ชิ้น</t>
  </si>
  <si>
    <t>ราคาขาย 75% Markup</t>
  </si>
  <si>
    <t>ราคาแนะนำ (ลงท้าย 90)</t>
  </si>
  <si>
    <t>ข้อเสนอแนะการขาย</t>
  </si>
  <si>
    <t>ถ้าผลิตขายต่อเนื่อง แนะนำเฉลี่ยค่า R&amp;D อย่างน้อย 10 ชิ้น ไม่ควรบวกค่าแรงพัฒนา 5 วันเต็มในทุกชิ้น เพราะเป็นต้นทุนพัฒนาครั้งแรก ส่วนงาน Custom/ทำชิ้นเดียวควรใช้แถว Scenario 1 ชิ้นเพื่อคืนค่า R&amp;D เต็มจำนวน ราคาขนส่งถึงลูกค้าไม่ได้รวมไว้ในราคานี้ และควรคิดเพิ่มตามจริง</t>
  </si>
  <si>
    <t>สวิชต์ 12V VDC 3 ขา</t>
  </si>
  <si>
    <t>โมดุลรีเลย์ 12VDC</t>
  </si>
  <si>
    <t>ไฟแลมป์สีแดง 12VDC</t>
  </si>
  <si>
    <t>ไฟแลมป์สีเหลือง 12VDC</t>
  </si>
  <si>
    <t>เคเบิ้ลแกลน</t>
  </si>
  <si>
    <t>ปากคีบจระเข้ใหญ่</t>
  </si>
  <si>
    <t>ปากคีบจระเข้เล็ก</t>
  </si>
  <si>
    <t>จอโวลต์-แอมมิเตอร์</t>
  </si>
  <si>
    <t>รายการซื้อของทำเฉพาะ Simulator CMP / CKP อันใหม่</t>
  </si>
  <si>
    <t>รายการซื้อของ SUPPLY</t>
  </si>
  <si>
    <t>จอ TFT 2.8 touch</t>
  </si>
  <si>
    <t>บอร์ดขยายขา</t>
  </si>
  <si>
    <t>บอร์ดไข่ปลา 2 หน้า</t>
  </si>
  <si>
    <t>ทรานซิเตอร์ 2N2222</t>
  </si>
  <si>
    <t>ตัวต้านทาน 470,1k,2.2k โอห์ม</t>
  </si>
  <si>
    <t>ราคารวมSimulator+Supply(บาท)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</si>
</sst>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#,##0.00;[Red]\(#,##0.00\);\-"/>
    <numFmt numFmtId="188" formatCode="0;[Red]\(0\);\-"/>
    <numFmt numFmtId="189" formatCode="0.0%;[Red]\(0.0%\);\-"/>
  </numFmts>
  <fonts count="30" x14ac:knownFonts="1">
    <font>
      <sz val="11"/>
      <color theme="1"/>
      <name val="Tahoma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rgb="FF274E13"/>
      <name val="Calibri"/>
    </font>
    <font>
      <sz val="11"/>
      <color rgb="FF274E13"/>
      <name val="Calibri"/>
    </font>
    <font>
      <b/>
      <sz val="16"/>
      <color rgb="FFFFFFFF"/>
      <name val="Calibri"/>
    </font>
    <font>
      <b/>
      <sz val="11"/>
      <color rgb="FF000000"/>
      <name val="Calibri"/>
    </font>
    <font>
      <b/>
      <sz val="11"/>
      <color rgb="FF203864"/>
      <name val="Calibri"/>
    </font>
    <font>
      <b/>
      <sz val="11"/>
      <color rgb="FF203864"/>
      <name val="Tahoma"/>
    </font>
    <font>
      <b/>
      <sz val="16"/>
      <color rgb="FFFFFFFF"/>
      <name val="Tahoma"/>
    </font>
    <font>
      <b/>
      <sz val="11"/>
      <color rgb="FFFFFFFF"/>
      <name val="Tahoma"/>
    </font>
    <font>
      <sz val="11"/>
      <color rgb="FF0000FF"/>
      <name val="Tahoma"/>
    </font>
    <font>
      <b/>
      <sz val="11"/>
      <color theme="1"/>
      <name val="Tahoma"/>
    </font>
    <font>
      <sz val="11"/>
      <color rgb="FF008000"/>
      <name val="Tahoma"/>
    </font>
    <font>
      <b/>
      <sz val="14"/>
      <color theme="1"/>
      <name val="Tahoma"/>
    </font>
    <font>
      <sz val="11"/>
      <color rgb="FF000000"/>
      <name val="Tahoma"/>
    </font>
    <font>
      <b/>
      <sz val="14"/>
      <color rgb="FF000000"/>
      <name val="Tahoma"/>
    </font>
    <font>
      <sz val="11"/>
      <color rgb="FF203864"/>
      <name val="Tahoma"/>
    </font>
    <font>
      <sz val="11"/>
      <color theme="1"/>
      <name val="Tahoma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6"/>
      <color theme="3" tint="9.9978637043366805E-2"/>
      <name val="Calibri Light"/>
      <family val="2"/>
      <scheme val="major"/>
    </font>
    <font>
      <b/>
      <sz val="16"/>
      <color theme="3" tint="9.9978637043366805E-2"/>
      <name val="Calibri"/>
      <family val="2"/>
      <scheme val="minor"/>
    </font>
    <font>
      <b/>
      <sz val="11"/>
      <name val="Calibri"/>
      <family val="2"/>
    </font>
    <font>
      <b/>
      <sz val="11"/>
      <name val="Tahoma"/>
      <family val="2"/>
    </font>
    <font>
      <sz val="11"/>
      <name val="Tahoma"/>
      <family val="2"/>
    </font>
    <font>
      <sz val="16"/>
      <name val="Calibri Light"/>
      <family val="2"/>
      <scheme val="major"/>
    </font>
    <font>
      <sz val="16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70AD47"/>
      </patternFill>
    </fill>
    <fill>
      <patternFill patternType="solid">
        <fgColor rgb="FFA5A5A5"/>
      </patternFill>
    </fill>
    <fill>
      <patternFill patternType="solid">
        <fgColor rgb="FFE7E6E6"/>
      </patternFill>
    </fill>
    <fill>
      <patternFill patternType="solid">
        <fgColor rgb="FFC55A11"/>
      </patternFill>
    </fill>
    <fill>
      <patternFill patternType="solid">
        <fgColor rgb="FF4472C4"/>
      </patternFill>
    </fill>
    <fill>
      <patternFill patternType="solid">
        <fgColor rgb="FFEAF2F8"/>
      </patternFill>
    </fill>
    <fill>
      <patternFill patternType="solid">
        <fgColor rgb="FFED7D31"/>
      </patternFill>
    </fill>
    <fill>
      <patternFill patternType="solid">
        <fgColor theme="3" tint="0.74999237037263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548235"/>
      </top>
      <bottom/>
      <diagonal/>
    </border>
    <border>
      <left/>
      <right/>
      <top style="thin">
        <color rgb="FF7F7F7F"/>
      </top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BF9000"/>
      </top>
      <bottom style="thin">
        <color rgb="FFBF9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D9D9D9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87" fontId="3" fillId="0" borderId="0" xfId="0" applyNumberFormat="1" applyFont="1"/>
    <xf numFmtId="188" fontId="3" fillId="0" borderId="0" xfId="0" applyNumberFormat="1" applyFont="1"/>
    <xf numFmtId="188" fontId="5" fillId="0" borderId="2" xfId="0" applyNumberFormat="1" applyFont="1" applyBorder="1" applyAlignment="1">
      <alignment vertical="center"/>
    </xf>
    <xf numFmtId="188" fontId="5" fillId="0" borderId="0" xfId="0" applyNumberFormat="1" applyFont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1" fillId="5" borderId="0" xfId="0" applyFont="1" applyFill="1" applyAlignment="1">
      <alignment horizontal="center" wrapText="1"/>
    </xf>
    <xf numFmtId="187" fontId="12" fillId="6" borderId="0" xfId="0" applyNumberFormat="1" applyFont="1" applyFill="1" applyAlignment="1">
      <alignment wrapText="1"/>
    </xf>
    <xf numFmtId="189" fontId="12" fillId="6" borderId="0" xfId="0" applyNumberFormat="1" applyFont="1" applyFill="1" applyAlignment="1">
      <alignment wrapText="1"/>
    </xf>
    <xf numFmtId="0" fontId="11" fillId="7" borderId="0" xfId="0" applyFont="1" applyFill="1" applyAlignment="1">
      <alignment horizontal="center" wrapText="1"/>
    </xf>
    <xf numFmtId="187" fontId="0" fillId="0" borderId="0" xfId="0" applyNumberFormat="1" applyAlignment="1">
      <alignment wrapText="1"/>
    </xf>
    <xf numFmtId="187" fontId="13" fillId="4" borderId="3" xfId="0" applyNumberFormat="1" applyFont="1" applyFill="1" applyBorder="1" applyAlignment="1">
      <alignment wrapText="1"/>
    </xf>
    <xf numFmtId="0" fontId="11" fillId="8" borderId="0" xfId="0" applyFont="1" applyFill="1" applyAlignment="1">
      <alignment horizontal="center" wrapText="1"/>
    </xf>
    <xf numFmtId="0" fontId="13" fillId="9" borderId="4" xfId="0" applyFont="1" applyFill="1" applyBorder="1" applyAlignment="1">
      <alignment wrapText="1"/>
    </xf>
    <xf numFmtId="187" fontId="13" fillId="9" borderId="4" xfId="0" applyNumberFormat="1" applyFont="1" applyFill="1" applyBorder="1" applyAlignment="1">
      <alignment wrapText="1"/>
    </xf>
    <xf numFmtId="187" fontId="16" fillId="0" borderId="0" xfId="0" applyNumberFormat="1" applyFont="1"/>
    <xf numFmtId="187" fontId="14" fillId="0" borderId="0" xfId="0" applyNumberFormat="1" applyFont="1" applyAlignment="1">
      <alignment wrapText="1"/>
    </xf>
    <xf numFmtId="187" fontId="16" fillId="0" borderId="0" xfId="0" applyNumberFormat="1" applyFont="1" applyAlignment="1">
      <alignment wrapText="1"/>
    </xf>
    <xf numFmtId="0" fontId="15" fillId="6" borderId="6" xfId="0" applyFont="1" applyFill="1" applyBorder="1" applyAlignment="1">
      <alignment wrapText="1"/>
    </xf>
    <xf numFmtId="187" fontId="17" fillId="6" borderId="6" xfId="0" applyNumberFormat="1" applyFont="1" applyFill="1" applyBorder="1" applyAlignment="1">
      <alignment wrapText="1"/>
    </xf>
    <xf numFmtId="0" fontId="0" fillId="0" borderId="5" xfId="0" applyBorder="1" applyAlignment="1">
      <alignment wrapText="1"/>
    </xf>
    <xf numFmtId="189" fontId="16" fillId="0" borderId="5" xfId="0" applyNumberFormat="1" applyFont="1" applyBorder="1" applyAlignment="1">
      <alignment wrapText="1"/>
    </xf>
    <xf numFmtId="0" fontId="11" fillId="10" borderId="0" xfId="0" applyFont="1" applyFill="1" applyAlignment="1">
      <alignment horizontal="center" wrapText="1"/>
    </xf>
    <xf numFmtId="0" fontId="11" fillId="11" borderId="0" xfId="0" applyFont="1" applyFill="1" applyAlignment="1">
      <alignment horizontal="center" wrapText="1"/>
    </xf>
    <xf numFmtId="1" fontId="0" fillId="0" borderId="0" xfId="0" applyNumberFormat="1" applyAlignment="1">
      <alignment wrapText="1"/>
    </xf>
    <xf numFmtId="1" fontId="13" fillId="4" borderId="0" xfId="0" applyNumberFormat="1" applyFont="1" applyFill="1" applyAlignment="1">
      <alignment wrapText="1"/>
    </xf>
    <xf numFmtId="187" fontId="13" fillId="4" borderId="0" xfId="0" applyNumberFormat="1" applyFont="1" applyFill="1" applyAlignment="1">
      <alignment wrapText="1"/>
    </xf>
    <xf numFmtId="0" fontId="11" fillId="13" borderId="0" xfId="0" applyFont="1" applyFill="1" applyAlignment="1">
      <alignment horizontal="center" wrapText="1"/>
    </xf>
    <xf numFmtId="187" fontId="9" fillId="4" borderId="7" xfId="0" applyNumberFormat="1" applyFont="1" applyFill="1" applyBorder="1"/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1" fillId="0" borderId="0" xfId="0" applyFont="1"/>
    <xf numFmtId="0" fontId="19" fillId="0" borderId="0" xfId="0" applyFont="1"/>
    <xf numFmtId="187" fontId="20" fillId="0" borderId="0" xfId="0" applyNumberFormat="1" applyFont="1"/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3" fillId="4" borderId="3" xfId="0" applyFont="1" applyFill="1" applyBorder="1" applyAlignment="1">
      <alignment wrapText="1"/>
    </xf>
    <xf numFmtId="187" fontId="13" fillId="4" borderId="3" xfId="0" applyNumberFormat="1" applyFont="1" applyFill="1" applyBorder="1" applyAlignment="1">
      <alignment wrapText="1"/>
    </xf>
    <xf numFmtId="0" fontId="11" fillId="2" borderId="0" xfId="0" applyFont="1" applyFill="1" applyAlignment="1">
      <alignment wrapText="1"/>
    </xf>
    <xf numFmtId="0" fontId="18" fillId="12" borderId="0" xfId="0" applyFont="1" applyFill="1" applyAlignment="1">
      <alignment vertical="top" wrapText="1"/>
    </xf>
    <xf numFmtId="0" fontId="8" fillId="4" borderId="10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187" fontId="9" fillId="4" borderId="10" xfId="0" applyNumberFormat="1" applyFont="1" applyFill="1" applyBorder="1" applyAlignment="1">
      <alignment horizontal="center" vertical="center"/>
    </xf>
    <xf numFmtId="0" fontId="23" fillId="14" borderId="9" xfId="0" applyFont="1" applyFill="1" applyBorder="1" applyAlignment="1">
      <alignment horizontal="center" vertical="center"/>
    </xf>
    <xf numFmtId="187" fontId="24" fillId="14" borderId="9" xfId="0" applyNumberFormat="1" applyFont="1" applyFill="1" applyBorder="1" applyAlignment="1">
      <alignment horizontal="center" vertical="center"/>
    </xf>
    <xf numFmtId="0" fontId="24" fillId="14" borderId="9" xfId="0" applyFont="1" applyFill="1" applyBorder="1" applyAlignment="1">
      <alignment horizontal="center" vertical="center"/>
    </xf>
    <xf numFmtId="0" fontId="25" fillId="0" borderId="0" xfId="0" applyFont="1" applyFill="1" applyBorder="1" applyAlignment="1"/>
    <xf numFmtId="187" fontId="26" fillId="0" borderId="0" xfId="0" applyNumberFormat="1" applyFont="1" applyFill="1" applyBorder="1" applyAlignment="1">
      <alignment horizontal="center"/>
    </xf>
    <xf numFmtId="0" fontId="27" fillId="0" borderId="0" xfId="0" applyFont="1" applyFill="1" applyBorder="1" applyAlignment="1"/>
    <xf numFmtId="0" fontId="28" fillId="0" borderId="0" xfId="0" applyFont="1" applyFill="1" applyBorder="1" applyAlignment="1"/>
    <xf numFmtId="187" fontId="29" fillId="0" borderId="0" xfId="0" applyNumberFormat="1" applyFont="1" applyFill="1" applyBorder="1" applyAlignment="1"/>
    <xf numFmtId="0" fontId="29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8"/>
  <sheetViews>
    <sheetView tabSelected="1" topLeftCell="A17" workbookViewId="0">
      <selection activeCell="J37" sqref="J37"/>
    </sheetView>
  </sheetViews>
  <sheetFormatPr defaultRowHeight="13.8" x14ac:dyDescent="0.25"/>
  <cols>
    <col min="2" max="2" width="45.19921875" customWidth="1"/>
    <col min="3" max="3" width="12" customWidth="1"/>
    <col min="4" max="4" width="18" customWidth="1"/>
    <col min="6" max="6" width="21.09765625" customWidth="1"/>
    <col min="7" max="7" width="10.8984375" customWidth="1"/>
    <col min="8" max="8" width="15.09765625" customWidth="1"/>
  </cols>
  <sheetData>
    <row r="2" spans="1:9" ht="21" x14ac:dyDescent="0.3">
      <c r="A2" s="2"/>
      <c r="B2" s="43" t="s">
        <v>11</v>
      </c>
      <c r="C2" s="43"/>
      <c r="D2" s="43"/>
      <c r="E2" s="1"/>
    </row>
    <row r="3" spans="1:9" ht="14.4" x14ac:dyDescent="0.3">
      <c r="A3" s="1"/>
      <c r="B3" s="1"/>
      <c r="C3" s="1"/>
      <c r="D3" s="1"/>
      <c r="E3" s="1"/>
    </row>
    <row r="4" spans="1:9" ht="14.4" x14ac:dyDescent="0.3">
      <c r="A4" s="1"/>
      <c r="B4" s="8" t="s">
        <v>12</v>
      </c>
      <c r="C4" s="8" t="s">
        <v>13</v>
      </c>
      <c r="D4" s="8" t="s">
        <v>14</v>
      </c>
      <c r="E4" s="1"/>
    </row>
    <row r="5" spans="1:9" ht="14.4" x14ac:dyDescent="0.3">
      <c r="A5" s="1"/>
      <c r="B5" s="9" t="s">
        <v>0</v>
      </c>
      <c r="C5" s="5">
        <v>1</v>
      </c>
      <c r="D5" s="4">
        <v>80</v>
      </c>
      <c r="E5" s="1"/>
    </row>
    <row r="6" spans="1:9" ht="14.4" x14ac:dyDescent="0.3">
      <c r="A6" s="1"/>
      <c r="B6" s="9" t="s">
        <v>1</v>
      </c>
      <c r="C6" s="5">
        <v>1</v>
      </c>
      <c r="D6" s="4">
        <v>18</v>
      </c>
      <c r="E6" s="1"/>
    </row>
    <row r="7" spans="1:9" ht="14.4" x14ac:dyDescent="0.3">
      <c r="A7" s="1"/>
      <c r="B7" s="9" t="s">
        <v>2</v>
      </c>
      <c r="C7" s="5">
        <v>3</v>
      </c>
      <c r="D7" s="4">
        <v>5.4</v>
      </c>
      <c r="E7" s="1"/>
    </row>
    <row r="8" spans="1:9" ht="14.4" x14ac:dyDescent="0.3">
      <c r="A8" s="1"/>
      <c r="B8" s="9" t="s">
        <v>3</v>
      </c>
      <c r="C8" s="5">
        <v>3</v>
      </c>
      <c r="D8" s="4">
        <v>5.4</v>
      </c>
      <c r="E8" s="1"/>
    </row>
    <row r="9" spans="1:9" ht="14.4" x14ac:dyDescent="0.3">
      <c r="A9" s="1"/>
      <c r="B9" s="9" t="s">
        <v>4</v>
      </c>
      <c r="C9" s="5">
        <v>1</v>
      </c>
      <c r="D9" s="4">
        <v>110</v>
      </c>
      <c r="E9" s="1"/>
    </row>
    <row r="10" spans="1:9" ht="14.4" x14ac:dyDescent="0.3">
      <c r="A10" s="1"/>
      <c r="B10" s="9" t="s">
        <v>5</v>
      </c>
      <c r="C10" s="5">
        <v>1</v>
      </c>
      <c r="D10" s="4">
        <v>100</v>
      </c>
      <c r="E10" s="1"/>
    </row>
    <row r="11" spans="1:9" ht="14.4" x14ac:dyDescent="0.3">
      <c r="A11" s="1"/>
      <c r="B11" s="9" t="s">
        <v>6</v>
      </c>
      <c r="C11" s="5">
        <v>1</v>
      </c>
      <c r="D11" s="4">
        <v>120</v>
      </c>
      <c r="E11" s="1"/>
      <c r="H11" s="3"/>
      <c r="I11" s="3"/>
    </row>
    <row r="12" spans="1:9" ht="14.4" x14ac:dyDescent="0.3">
      <c r="A12" s="3"/>
      <c r="B12" s="10" t="s">
        <v>7</v>
      </c>
      <c r="C12" s="6">
        <v>1</v>
      </c>
      <c r="D12" s="4">
        <v>50</v>
      </c>
      <c r="E12" s="1"/>
    </row>
    <row r="13" spans="1:9" ht="14.4" x14ac:dyDescent="0.3">
      <c r="A13" s="1"/>
      <c r="B13" s="11" t="s">
        <v>8</v>
      </c>
      <c r="C13" s="7">
        <v>1</v>
      </c>
      <c r="D13" s="4">
        <v>90</v>
      </c>
      <c r="E13" s="1"/>
    </row>
    <row r="14" spans="1:9" ht="14.4" x14ac:dyDescent="0.3">
      <c r="A14" s="1"/>
      <c r="B14" s="9" t="s">
        <v>9</v>
      </c>
      <c r="C14" s="5">
        <v>1</v>
      </c>
      <c r="D14" s="4">
        <v>80</v>
      </c>
      <c r="E14" s="1"/>
    </row>
    <row r="15" spans="1:9" ht="14.4" x14ac:dyDescent="0.3">
      <c r="B15" s="9" t="s">
        <v>136</v>
      </c>
      <c r="C15" s="5">
        <v>1</v>
      </c>
      <c r="D15" s="4">
        <v>15</v>
      </c>
    </row>
    <row r="16" spans="1:9" ht="14.4" x14ac:dyDescent="0.25">
      <c r="B16" s="41" t="s">
        <v>10</v>
      </c>
      <c r="C16" s="42"/>
      <c r="D16" s="35">
        <f>SUM(D5:D15)</f>
        <v>673.8</v>
      </c>
    </row>
    <row r="19" spans="2:9" ht="21" x14ac:dyDescent="0.25">
      <c r="B19" s="43" t="s">
        <v>144</v>
      </c>
      <c r="C19" s="43"/>
      <c r="D19" s="43"/>
      <c r="F19" s="43" t="s">
        <v>145</v>
      </c>
      <c r="G19" s="43"/>
      <c r="H19" s="43"/>
      <c r="I19" s="43"/>
    </row>
    <row r="20" spans="2:9" ht="14.4" x14ac:dyDescent="0.3">
      <c r="B20" s="1"/>
      <c r="C20" s="1"/>
      <c r="D20" s="1"/>
    </row>
    <row r="21" spans="2:9" ht="18" customHeight="1" x14ac:dyDescent="0.25">
      <c r="B21" s="8" t="s">
        <v>12</v>
      </c>
      <c r="C21" s="8" t="s">
        <v>13</v>
      </c>
      <c r="D21" s="8" t="s">
        <v>14</v>
      </c>
      <c r="F21" s="8" t="s">
        <v>12</v>
      </c>
      <c r="G21" s="8" t="s">
        <v>13</v>
      </c>
      <c r="H21" s="8" t="s">
        <v>14</v>
      </c>
    </row>
    <row r="22" spans="2:9" ht="17.399999999999999" customHeight="1" x14ac:dyDescent="0.3">
      <c r="B22" s="9" t="s">
        <v>0</v>
      </c>
      <c r="C22" s="5">
        <v>1</v>
      </c>
      <c r="D22" s="4">
        <v>75</v>
      </c>
      <c r="F22" s="9" t="s">
        <v>137</v>
      </c>
      <c r="G22" s="5">
        <v>1</v>
      </c>
      <c r="H22" s="4">
        <v>30</v>
      </c>
    </row>
    <row r="23" spans="2:9" ht="16.8" customHeight="1" x14ac:dyDescent="0.3">
      <c r="B23" s="9" t="s">
        <v>146</v>
      </c>
      <c r="C23" s="5">
        <v>1</v>
      </c>
      <c r="D23" s="4">
        <v>159</v>
      </c>
      <c r="F23" s="9" t="s">
        <v>138</v>
      </c>
      <c r="G23" s="5">
        <v>1</v>
      </c>
      <c r="H23" s="4">
        <v>20</v>
      </c>
    </row>
    <row r="24" spans="2:9" ht="14.4" x14ac:dyDescent="0.3">
      <c r="B24" s="9" t="s">
        <v>5</v>
      </c>
      <c r="C24" s="5">
        <v>1</v>
      </c>
      <c r="D24" s="4">
        <v>50</v>
      </c>
      <c r="F24" s="9" t="s">
        <v>139</v>
      </c>
      <c r="G24" s="5">
        <v>1</v>
      </c>
      <c r="H24" s="4">
        <v>20</v>
      </c>
    </row>
    <row r="25" spans="2:9" ht="14.4" x14ac:dyDescent="0.3">
      <c r="B25" s="9" t="s">
        <v>6</v>
      </c>
      <c r="C25" s="5">
        <v>1</v>
      </c>
      <c r="D25" s="4">
        <v>20</v>
      </c>
      <c r="F25" s="11" t="s">
        <v>8</v>
      </c>
      <c r="G25" s="7">
        <v>1</v>
      </c>
      <c r="H25" s="4">
        <v>44</v>
      </c>
    </row>
    <row r="26" spans="2:9" ht="14.4" x14ac:dyDescent="0.3">
      <c r="B26" s="10" t="s">
        <v>7</v>
      </c>
      <c r="C26" s="6">
        <v>1</v>
      </c>
      <c r="D26" s="4">
        <v>25</v>
      </c>
      <c r="F26" s="9" t="s">
        <v>9</v>
      </c>
      <c r="G26" s="5">
        <v>1</v>
      </c>
      <c r="H26" s="4">
        <v>86</v>
      </c>
    </row>
    <row r="27" spans="2:9" ht="14.4" x14ac:dyDescent="0.3">
      <c r="B27" s="9" t="s">
        <v>147</v>
      </c>
      <c r="C27" s="5">
        <v>1</v>
      </c>
      <c r="D27" s="4">
        <v>90</v>
      </c>
      <c r="F27" s="9" t="s">
        <v>136</v>
      </c>
      <c r="G27" s="5">
        <v>1</v>
      </c>
      <c r="H27" s="4">
        <v>11</v>
      </c>
    </row>
    <row r="28" spans="2:9" ht="14.4" x14ac:dyDescent="0.3">
      <c r="B28" s="9" t="s">
        <v>148</v>
      </c>
      <c r="C28" s="5">
        <v>1</v>
      </c>
      <c r="D28" s="4">
        <v>17</v>
      </c>
      <c r="F28" s="36" t="s">
        <v>140</v>
      </c>
      <c r="G28" s="37">
        <v>2</v>
      </c>
      <c r="H28" s="38">
        <f>58/10*2</f>
        <v>11.6</v>
      </c>
    </row>
    <row r="29" spans="2:9" ht="14.4" x14ac:dyDescent="0.3">
      <c r="B29" s="10" t="s">
        <v>149</v>
      </c>
      <c r="C29" s="6">
        <v>2</v>
      </c>
      <c r="D29" s="4">
        <v>6</v>
      </c>
      <c r="F29" s="39" t="s">
        <v>141</v>
      </c>
      <c r="G29" s="38">
        <v>1</v>
      </c>
      <c r="H29" s="40">
        <v>10</v>
      </c>
    </row>
    <row r="30" spans="2:9" ht="14.4" x14ac:dyDescent="0.3">
      <c r="B30" s="11" t="s">
        <v>150</v>
      </c>
      <c r="C30" s="7">
        <v>5</v>
      </c>
      <c r="D30" s="4">
        <f>1.4*5</f>
        <v>7</v>
      </c>
      <c r="F30" s="39" t="s">
        <v>142</v>
      </c>
      <c r="G30" s="38">
        <v>3</v>
      </c>
      <c r="H30" s="40">
        <v>27</v>
      </c>
    </row>
    <row r="31" spans="2:9" ht="14.4" x14ac:dyDescent="0.3">
      <c r="B31" s="49" t="s">
        <v>10</v>
      </c>
      <c r="C31" s="50"/>
      <c r="D31" s="51">
        <f>SUM(D22:D30)</f>
        <v>449</v>
      </c>
      <c r="F31" s="39" t="s">
        <v>143</v>
      </c>
      <c r="G31" s="38">
        <v>1</v>
      </c>
      <c r="H31" s="40">
        <v>39</v>
      </c>
    </row>
    <row r="32" spans="2:9" ht="14.4" x14ac:dyDescent="0.3">
      <c r="B32" s="9"/>
      <c r="C32" s="5"/>
      <c r="D32" s="4"/>
      <c r="F32" s="49" t="s">
        <v>10</v>
      </c>
      <c r="G32" s="50"/>
      <c r="H32" s="51">
        <f>SUM(H22:H31)</f>
        <v>298.60000000000002</v>
      </c>
    </row>
    <row r="33" spans="2:8" ht="14.4" x14ac:dyDescent="0.3">
      <c r="B33" s="36"/>
      <c r="C33" s="37"/>
      <c r="D33" s="38"/>
    </row>
    <row r="34" spans="2:8" ht="21" x14ac:dyDescent="0.25">
      <c r="B34" s="52" t="s">
        <v>151</v>
      </c>
      <c r="C34" s="53">
        <f>SUM(D31,H32)</f>
        <v>747.6</v>
      </c>
      <c r="D34" s="54"/>
      <c r="E34" s="54"/>
      <c r="F34" s="54"/>
      <c r="G34" s="54"/>
      <c r="H34" s="54"/>
    </row>
    <row r="35" spans="2:8" ht="14.4" x14ac:dyDescent="0.3">
      <c r="B35" s="39"/>
      <c r="C35" s="38"/>
      <c r="D35" s="40"/>
    </row>
    <row r="36" spans="2:8" ht="14.4" x14ac:dyDescent="0.3">
      <c r="B36" s="39"/>
      <c r="C36" s="38"/>
      <c r="D36" s="40"/>
    </row>
    <row r="37" spans="2:8" ht="21.6" customHeight="1" x14ac:dyDescent="0.3">
      <c r="B37" s="55"/>
      <c r="C37" s="55"/>
      <c r="D37" s="56"/>
      <c r="E37" s="57"/>
      <c r="F37" s="55"/>
      <c r="G37" s="55"/>
      <c r="H37" s="56"/>
    </row>
    <row r="38" spans="2:8" ht="28.2" customHeight="1" x14ac:dyDescent="0.4">
      <c r="B38" s="58"/>
      <c r="C38" s="59"/>
      <c r="D38" s="60"/>
      <c r="E38" s="60"/>
      <c r="F38" s="60"/>
      <c r="G38" s="60"/>
      <c r="H38" s="60"/>
    </row>
  </sheetData>
  <mergeCells count="7">
    <mergeCell ref="B31:C31"/>
    <mergeCell ref="F32:G32"/>
    <mergeCell ref="C34:H34"/>
    <mergeCell ref="B2:D2"/>
    <mergeCell ref="B16:C16"/>
    <mergeCell ref="B19:D19"/>
    <mergeCell ref="F19:I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workbookViewId="0"/>
  </sheetViews>
  <sheetFormatPr defaultRowHeight="13.8" x14ac:dyDescent="0.25"/>
  <cols>
    <col min="1" max="1" width="34" customWidth="1"/>
    <col min="2" max="2" width="20" customWidth="1"/>
    <col min="3" max="3" width="18" customWidth="1"/>
    <col min="4" max="4" width="48" customWidth="1"/>
  </cols>
  <sheetData>
    <row r="1" spans="1:4" ht="20.399999999999999" x14ac:dyDescent="0.25">
      <c r="A1" s="44" t="s">
        <v>15</v>
      </c>
      <c r="B1" s="44"/>
      <c r="C1" s="44"/>
      <c r="D1" s="44"/>
    </row>
    <row r="2" spans="1:4" x14ac:dyDescent="0.25">
      <c r="A2" s="12"/>
      <c r="B2" s="12"/>
      <c r="C2" s="12"/>
      <c r="D2" s="12"/>
    </row>
    <row r="3" spans="1:4" x14ac:dyDescent="0.25">
      <c r="A3" s="13" t="s">
        <v>16</v>
      </c>
      <c r="B3" s="13" t="s">
        <v>17</v>
      </c>
      <c r="C3" s="13" t="s">
        <v>18</v>
      </c>
      <c r="D3" s="13" t="s">
        <v>19</v>
      </c>
    </row>
    <row r="4" spans="1:4" x14ac:dyDescent="0.25">
      <c r="A4" s="12" t="s">
        <v>20</v>
      </c>
      <c r="B4" s="14">
        <v>17000</v>
      </c>
      <c r="C4" s="12" t="s">
        <v>21</v>
      </c>
      <c r="D4" s="12" t="s">
        <v>22</v>
      </c>
    </row>
    <row r="5" spans="1:4" x14ac:dyDescent="0.25">
      <c r="A5" s="12" t="s">
        <v>23</v>
      </c>
      <c r="B5" s="14">
        <v>26</v>
      </c>
      <c r="C5" s="12" t="s">
        <v>24</v>
      </c>
      <c r="D5" s="12" t="s">
        <v>25</v>
      </c>
    </row>
    <row r="6" spans="1:4" x14ac:dyDescent="0.25">
      <c r="A6" s="12" t="s">
        <v>26</v>
      </c>
      <c r="B6" s="14">
        <v>8</v>
      </c>
      <c r="C6" s="12" t="s">
        <v>27</v>
      </c>
      <c r="D6" s="12" t="s">
        <v>28</v>
      </c>
    </row>
    <row r="7" spans="1:4" x14ac:dyDescent="0.25">
      <c r="A7" s="12" t="s">
        <v>29</v>
      </c>
      <c r="B7" s="14">
        <v>5</v>
      </c>
      <c r="C7" s="12" t="s">
        <v>30</v>
      </c>
      <c r="D7" s="12" t="s">
        <v>31</v>
      </c>
    </row>
    <row r="8" spans="1:4" x14ac:dyDescent="0.25">
      <c r="A8" s="12" t="s">
        <v>32</v>
      </c>
      <c r="B8" s="14">
        <v>10</v>
      </c>
      <c r="C8" s="12" t="s">
        <v>33</v>
      </c>
      <c r="D8" s="12" t="s">
        <v>34</v>
      </c>
    </row>
    <row r="9" spans="1:4" x14ac:dyDescent="0.25">
      <c r="A9" s="12" t="s">
        <v>35</v>
      </c>
      <c r="B9" s="14">
        <v>3</v>
      </c>
      <c r="C9" s="12" t="s">
        <v>36</v>
      </c>
      <c r="D9" s="12" t="s">
        <v>37</v>
      </c>
    </row>
    <row r="10" spans="1:4" x14ac:dyDescent="0.25">
      <c r="A10" s="12" t="s">
        <v>38</v>
      </c>
      <c r="B10" s="15">
        <v>0.05</v>
      </c>
      <c r="C10" s="12" t="s">
        <v>39</v>
      </c>
      <c r="D10" s="12" t="s">
        <v>40</v>
      </c>
    </row>
    <row r="11" spans="1:4" x14ac:dyDescent="0.25">
      <c r="A11" s="12" t="s">
        <v>41</v>
      </c>
      <c r="B11" s="15">
        <v>0.05</v>
      </c>
      <c r="C11" s="12" t="s">
        <v>39</v>
      </c>
      <c r="D11" s="12" t="s">
        <v>42</v>
      </c>
    </row>
    <row r="12" spans="1:4" x14ac:dyDescent="0.25">
      <c r="A12" s="12" t="s">
        <v>43</v>
      </c>
      <c r="B12" s="15">
        <v>0.75</v>
      </c>
      <c r="C12" s="12" t="s">
        <v>44</v>
      </c>
      <c r="D12" s="12" t="s">
        <v>45</v>
      </c>
    </row>
    <row r="13" spans="1:4" x14ac:dyDescent="0.25">
      <c r="A13" s="12" t="s">
        <v>46</v>
      </c>
      <c r="B13" s="15">
        <v>0.03</v>
      </c>
      <c r="C13" s="12" t="s">
        <v>47</v>
      </c>
      <c r="D13" s="12" t="s">
        <v>48</v>
      </c>
    </row>
    <row r="14" spans="1:4" x14ac:dyDescent="0.25">
      <c r="A14" s="12"/>
      <c r="B14" s="12"/>
      <c r="C14" s="12"/>
      <c r="D14" s="12"/>
    </row>
    <row r="15" spans="1:4" x14ac:dyDescent="0.25">
      <c r="A15" s="12"/>
      <c r="B15" s="12"/>
      <c r="C15" s="12"/>
      <c r="D15" s="12"/>
    </row>
    <row r="16" spans="1:4" ht="27.6" x14ac:dyDescent="0.25">
      <c r="A16" s="16" t="s">
        <v>49</v>
      </c>
      <c r="B16" s="16" t="s">
        <v>50</v>
      </c>
      <c r="C16" s="16" t="s">
        <v>51</v>
      </c>
      <c r="D16" s="16" t="s">
        <v>52</v>
      </c>
    </row>
    <row r="17" spans="1:4" x14ac:dyDescent="0.25">
      <c r="A17" s="12" t="s">
        <v>53</v>
      </c>
      <c r="B17" s="14">
        <v>500</v>
      </c>
      <c r="C17" s="14">
        <v>100</v>
      </c>
      <c r="D17" s="17">
        <f>B17/C17</f>
        <v>5</v>
      </c>
    </row>
    <row r="18" spans="1:4" x14ac:dyDescent="0.25">
      <c r="A18" s="12" t="s">
        <v>54</v>
      </c>
      <c r="B18" s="14">
        <v>500</v>
      </c>
      <c r="C18" s="14">
        <v>100</v>
      </c>
      <c r="D18" s="17">
        <f>B18/C18</f>
        <v>5</v>
      </c>
    </row>
    <row r="19" spans="1:4" x14ac:dyDescent="0.25">
      <c r="A19" s="12" t="s">
        <v>55</v>
      </c>
      <c r="B19" s="14">
        <v>300</v>
      </c>
      <c r="C19" s="14">
        <v>100</v>
      </c>
      <c r="D19" s="17">
        <f>B19/C19</f>
        <v>3</v>
      </c>
    </row>
    <row r="20" spans="1:4" x14ac:dyDescent="0.25">
      <c r="A20" s="12" t="s">
        <v>56</v>
      </c>
      <c r="B20" s="14">
        <v>700</v>
      </c>
      <c r="C20" s="14">
        <v>100</v>
      </c>
      <c r="D20" s="17">
        <f>B20/C20</f>
        <v>7</v>
      </c>
    </row>
    <row r="21" spans="1:4" x14ac:dyDescent="0.25">
      <c r="A21" s="12" t="s">
        <v>57</v>
      </c>
      <c r="B21" s="14">
        <v>500</v>
      </c>
      <c r="C21" s="14">
        <v>100</v>
      </c>
      <c r="D21" s="17">
        <f>B21/C21</f>
        <v>5</v>
      </c>
    </row>
    <row r="22" spans="1:4" x14ac:dyDescent="0.25">
      <c r="A22" s="45" t="s">
        <v>58</v>
      </c>
      <c r="B22" s="46"/>
      <c r="C22" s="46"/>
      <c r="D22" s="18">
        <f>SUM(D17:D21)</f>
        <v>25</v>
      </c>
    </row>
    <row r="23" spans="1:4" x14ac:dyDescent="0.25">
      <c r="A23" s="12"/>
      <c r="B23" s="12"/>
      <c r="C23" s="12"/>
      <c r="D23" s="12"/>
    </row>
    <row r="24" spans="1:4" x14ac:dyDescent="0.25">
      <c r="A24" s="12"/>
      <c r="B24" s="12"/>
      <c r="C24" s="12"/>
      <c r="D24" s="12"/>
    </row>
    <row r="25" spans="1:4" x14ac:dyDescent="0.25">
      <c r="A25" s="19" t="s">
        <v>59</v>
      </c>
      <c r="B25" s="19" t="s">
        <v>60</v>
      </c>
      <c r="C25" s="19" t="s">
        <v>61</v>
      </c>
      <c r="D25" s="12"/>
    </row>
    <row r="26" spans="1:4" x14ac:dyDescent="0.25">
      <c r="A26" s="12" t="s">
        <v>62</v>
      </c>
      <c r="B26" s="14">
        <v>50</v>
      </c>
      <c r="C26" s="12" t="s">
        <v>63</v>
      </c>
      <c r="D26" s="12"/>
    </row>
    <row r="27" spans="1:4" ht="27.6" x14ac:dyDescent="0.25">
      <c r="A27" s="12" t="s">
        <v>64</v>
      </c>
      <c r="B27" s="14">
        <v>20</v>
      </c>
      <c r="C27" s="12" t="s">
        <v>65</v>
      </c>
      <c r="D27" s="12"/>
    </row>
    <row r="28" spans="1:4" ht="27.6" x14ac:dyDescent="0.25">
      <c r="A28" s="12" t="s">
        <v>66</v>
      </c>
      <c r="B28" s="14">
        <v>10</v>
      </c>
      <c r="C28" s="12" t="s">
        <v>67</v>
      </c>
      <c r="D28" s="12"/>
    </row>
    <row r="29" spans="1:4" ht="27.6" x14ac:dyDescent="0.25">
      <c r="A29" s="12" t="s">
        <v>68</v>
      </c>
      <c r="B29" s="14">
        <v>40</v>
      </c>
      <c r="C29" s="12" t="s">
        <v>69</v>
      </c>
      <c r="D29" s="12"/>
    </row>
    <row r="30" spans="1:4" ht="27.6" x14ac:dyDescent="0.25">
      <c r="A30" s="12" t="s">
        <v>70</v>
      </c>
      <c r="B30" s="14">
        <v>30</v>
      </c>
      <c r="C30" s="12" t="s">
        <v>71</v>
      </c>
      <c r="D30" s="12"/>
    </row>
    <row r="31" spans="1:4" x14ac:dyDescent="0.25">
      <c r="A31" s="20" t="s">
        <v>72</v>
      </c>
      <c r="B31" s="21">
        <f>SUM(B26:B30)</f>
        <v>150</v>
      </c>
      <c r="C31" s="12"/>
      <c r="D31" s="12"/>
    </row>
    <row r="32" spans="1:4" x14ac:dyDescent="0.25">
      <c r="A32" s="12"/>
      <c r="B32" s="12"/>
      <c r="C32" s="12"/>
      <c r="D32" s="12"/>
    </row>
    <row r="33" spans="1:4" x14ac:dyDescent="0.25">
      <c r="A33" s="12"/>
      <c r="B33" s="12"/>
      <c r="C33" s="12"/>
      <c r="D33" s="12"/>
    </row>
    <row r="34" spans="1:4" x14ac:dyDescent="0.25">
      <c r="A34" s="34" t="s">
        <v>73</v>
      </c>
      <c r="B34" s="34" t="s">
        <v>74</v>
      </c>
      <c r="C34" s="34" t="s">
        <v>18</v>
      </c>
      <c r="D34" s="34" t="s">
        <v>75</v>
      </c>
    </row>
    <row r="35" spans="1:4" x14ac:dyDescent="0.25">
      <c r="A35" s="12" t="s">
        <v>76</v>
      </c>
      <c r="B35" s="24">
        <f>B4/B5</f>
        <v>653.84615384615381</v>
      </c>
      <c r="C35" s="12" t="s">
        <v>77</v>
      </c>
      <c r="D35" s="12" t="s">
        <v>78</v>
      </c>
    </row>
    <row r="36" spans="1:4" x14ac:dyDescent="0.25">
      <c r="A36" t="s">
        <v>79</v>
      </c>
      <c r="B36" s="22">
        <f>B35*B7</f>
        <v>3269.2307692307691</v>
      </c>
      <c r="C36" t="s">
        <v>80</v>
      </c>
      <c r="D36" t="s">
        <v>81</v>
      </c>
    </row>
    <row r="37" spans="1:4" x14ac:dyDescent="0.25">
      <c r="A37" t="s">
        <v>82</v>
      </c>
      <c r="B37" s="22">
        <f>B4/(B5*B6)</f>
        <v>81.730769230769226</v>
      </c>
      <c r="C37" t="s">
        <v>83</v>
      </c>
      <c r="D37" t="s">
        <v>84</v>
      </c>
    </row>
    <row r="38" spans="1:4" x14ac:dyDescent="0.25">
      <c r="A38" t="s">
        <v>85</v>
      </c>
      <c r="B38" s="22">
        <f>B36/B8</f>
        <v>326.92307692307691</v>
      </c>
      <c r="C38" t="s">
        <v>86</v>
      </c>
      <c r="D38" t="s">
        <v>87</v>
      </c>
    </row>
  </sheetData>
  <mergeCells count="2">
    <mergeCell ref="A1:D1"/>
    <mergeCell ref="A22:C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2"/>
  <sheetViews>
    <sheetView workbookViewId="0"/>
  </sheetViews>
  <sheetFormatPr defaultRowHeight="13.8" x14ac:dyDescent="0.25"/>
  <cols>
    <col min="1" max="1" width="38" customWidth="1"/>
    <col min="2" max="2" width="20" customWidth="1"/>
    <col min="3" max="3" width="36" customWidth="1"/>
    <col min="4" max="4" width="44" customWidth="1"/>
    <col min="5" max="5" width="22" customWidth="1"/>
    <col min="6" max="6" width="15" customWidth="1"/>
  </cols>
  <sheetData>
    <row r="1" spans="1:6" ht="20.399999999999999" x14ac:dyDescent="0.25">
      <c r="A1" s="44" t="s">
        <v>88</v>
      </c>
      <c r="B1" s="44"/>
      <c r="C1" s="44"/>
      <c r="D1" s="44"/>
      <c r="E1" s="44"/>
      <c r="F1" s="44"/>
    </row>
    <row r="2" spans="1:6" x14ac:dyDescent="0.25">
      <c r="A2" s="12"/>
      <c r="B2" s="12"/>
      <c r="C2" s="12"/>
      <c r="D2" s="12"/>
      <c r="E2" s="12"/>
      <c r="F2" s="12"/>
    </row>
    <row r="3" spans="1:6" x14ac:dyDescent="0.25">
      <c r="A3" s="13" t="s">
        <v>89</v>
      </c>
      <c r="B3" s="13" t="s">
        <v>90</v>
      </c>
      <c r="C3" s="13" t="s">
        <v>91</v>
      </c>
      <c r="D3" s="13" t="s">
        <v>61</v>
      </c>
      <c r="E3" s="12"/>
      <c r="F3" s="12"/>
    </row>
    <row r="4" spans="1:6" x14ac:dyDescent="0.25">
      <c r="A4" s="12" t="s">
        <v>92</v>
      </c>
      <c r="B4" s="23">
        <f>Sheet1!D15</f>
        <v>15</v>
      </c>
      <c r="C4" s="12" t="s">
        <v>93</v>
      </c>
      <c r="D4" s="12" t="s">
        <v>94</v>
      </c>
      <c r="E4" s="12"/>
      <c r="F4" s="12"/>
    </row>
    <row r="5" spans="1:6" ht="27.6" x14ac:dyDescent="0.25">
      <c r="A5" s="12" t="s">
        <v>95</v>
      </c>
      <c r="B5" s="23">
        <f>สมมติฐาน!B4/สมมติฐาน!B5*สมมติฐาน!B7/สมมติฐาน!B8</f>
        <v>326.92307692307691</v>
      </c>
      <c r="C5" s="12" t="s">
        <v>96</v>
      </c>
      <c r="D5" s="12" t="s">
        <v>97</v>
      </c>
      <c r="E5" s="12"/>
      <c r="F5" s="12"/>
    </row>
    <row r="6" spans="1:6" x14ac:dyDescent="0.25">
      <c r="A6" s="12" t="s">
        <v>98</v>
      </c>
      <c r="B6" s="23">
        <f>สมมติฐาน!B4/(สมมติฐาน!B5*สมมติฐาน!B6)*สมมติฐาน!B9</f>
        <v>245.19230769230768</v>
      </c>
      <c r="C6" s="12" t="s">
        <v>99</v>
      </c>
      <c r="D6" s="12" t="s">
        <v>100</v>
      </c>
      <c r="E6" s="12"/>
      <c r="F6" s="12"/>
    </row>
    <row r="7" spans="1:6" x14ac:dyDescent="0.25">
      <c r="A7" s="12" t="s">
        <v>101</v>
      </c>
      <c r="B7" s="23">
        <f>B4*สมมติฐาน!B10</f>
        <v>0.75</v>
      </c>
      <c r="C7" s="12" t="s">
        <v>102</v>
      </c>
      <c r="D7" s="12" t="s">
        <v>103</v>
      </c>
      <c r="E7" s="12"/>
      <c r="F7" s="12"/>
    </row>
    <row r="8" spans="1:6" x14ac:dyDescent="0.25">
      <c r="A8" s="12" t="s">
        <v>104</v>
      </c>
      <c r="B8" s="23">
        <f>สมมติฐาน!D22</f>
        <v>25</v>
      </c>
      <c r="C8" s="12" t="s">
        <v>105</v>
      </c>
      <c r="D8" s="12" t="s">
        <v>106</v>
      </c>
      <c r="E8" s="12"/>
      <c r="F8" s="12"/>
    </row>
    <row r="9" spans="1:6" x14ac:dyDescent="0.25">
      <c r="A9" s="12" t="s">
        <v>107</v>
      </c>
      <c r="B9" s="23">
        <f>สมมติฐาน!B26</f>
        <v>50</v>
      </c>
      <c r="C9" s="12" t="s">
        <v>108</v>
      </c>
      <c r="D9" s="12"/>
      <c r="E9" s="12"/>
      <c r="F9" s="12"/>
    </row>
    <row r="10" spans="1:6" x14ac:dyDescent="0.25">
      <c r="A10" s="12" t="s">
        <v>64</v>
      </c>
      <c r="B10" s="23">
        <f>สมมติฐาน!B27</f>
        <v>20</v>
      </c>
      <c r="C10" s="12" t="s">
        <v>108</v>
      </c>
      <c r="D10" s="12"/>
      <c r="E10" s="12"/>
      <c r="F10" s="12"/>
    </row>
    <row r="11" spans="1:6" x14ac:dyDescent="0.25">
      <c r="A11" s="12" t="s">
        <v>109</v>
      </c>
      <c r="B11" s="23">
        <f>สมมติฐาน!B28</f>
        <v>10</v>
      </c>
      <c r="C11" s="12" t="s">
        <v>108</v>
      </c>
      <c r="D11" s="12"/>
      <c r="E11" s="12"/>
      <c r="F11" s="12"/>
    </row>
    <row r="12" spans="1:6" x14ac:dyDescent="0.25">
      <c r="A12" s="12" t="s">
        <v>68</v>
      </c>
      <c r="B12" s="23">
        <f>สมมติฐาน!B29</f>
        <v>40</v>
      </c>
      <c r="C12" s="12" t="s">
        <v>108</v>
      </c>
      <c r="D12" s="12"/>
      <c r="E12" s="12"/>
      <c r="F12" s="12"/>
    </row>
    <row r="13" spans="1:6" x14ac:dyDescent="0.25">
      <c r="A13" s="12" t="s">
        <v>110</v>
      </c>
      <c r="B13" s="23">
        <f>สมมติฐาน!B30</f>
        <v>30</v>
      </c>
      <c r="C13" s="12" t="s">
        <v>108</v>
      </c>
      <c r="D13" s="12"/>
      <c r="E13" s="12"/>
      <c r="F13" s="12"/>
    </row>
    <row r="14" spans="1:6" x14ac:dyDescent="0.25">
      <c r="A14" s="12" t="s">
        <v>41</v>
      </c>
      <c r="B14" s="23">
        <f>B4*สมมติฐาน!B11</f>
        <v>0.75</v>
      </c>
      <c r="C14" s="12" t="s">
        <v>102</v>
      </c>
      <c r="D14" s="12" t="s">
        <v>111</v>
      </c>
      <c r="E14" s="12"/>
      <c r="F14" s="12"/>
    </row>
    <row r="15" spans="1:6" x14ac:dyDescent="0.25">
      <c r="A15" s="12"/>
      <c r="B15" s="12"/>
      <c r="C15" s="12"/>
      <c r="D15" s="12"/>
      <c r="E15" s="12"/>
      <c r="F15" s="12"/>
    </row>
    <row r="16" spans="1:6" x14ac:dyDescent="0.25">
      <c r="A16" s="16" t="s">
        <v>112</v>
      </c>
      <c r="B16" s="16" t="s">
        <v>90</v>
      </c>
      <c r="C16" s="12"/>
      <c r="D16" s="12"/>
      <c r="E16" s="12"/>
      <c r="F16" s="12"/>
    </row>
    <row r="17" spans="1:6" x14ac:dyDescent="0.25">
      <c r="A17" s="12" t="s">
        <v>113</v>
      </c>
      <c r="B17" s="24">
        <f>SUM(B4:B14)</f>
        <v>763.61538461538453</v>
      </c>
      <c r="C17" s="12"/>
      <c r="D17" s="12"/>
      <c r="E17" s="12"/>
      <c r="F17" s="12"/>
    </row>
    <row r="18" spans="1:6" x14ac:dyDescent="0.25">
      <c r="A18" s="12" t="s">
        <v>114</v>
      </c>
      <c r="B18" s="24">
        <f>B17*สมมติฐาน!B12</f>
        <v>572.71153846153834</v>
      </c>
      <c r="C18" s="12"/>
      <c r="D18" s="12"/>
      <c r="E18" s="12"/>
      <c r="F18" s="12"/>
    </row>
    <row r="19" spans="1:6" x14ac:dyDescent="0.25">
      <c r="A19" s="12" t="s">
        <v>115</v>
      </c>
      <c r="B19" s="24">
        <f>B17+B18</f>
        <v>1336.3269230769229</v>
      </c>
      <c r="C19" s="12"/>
      <c r="D19" s="12"/>
      <c r="E19" s="12"/>
      <c r="F19" s="12"/>
    </row>
    <row r="20" spans="1:6" x14ac:dyDescent="0.25">
      <c r="A20" s="12" t="s">
        <v>116</v>
      </c>
      <c r="B20" s="24">
        <f>B19/(1-สมมติฐาน!B13)</f>
        <v>1377.6566217287866</v>
      </c>
      <c r="C20" s="12"/>
      <c r="D20" s="12"/>
      <c r="E20" s="12"/>
      <c r="F20" s="12"/>
    </row>
    <row r="21" spans="1:6" ht="17.399999999999999" x14ac:dyDescent="0.3">
      <c r="A21" s="25" t="s">
        <v>117</v>
      </c>
      <c r="B21" s="26">
        <f>ROUNDUP(B20,-2)-10</f>
        <v>1390</v>
      </c>
      <c r="C21" s="12"/>
      <c r="D21" s="12"/>
      <c r="E21" s="12"/>
      <c r="F21" s="12"/>
    </row>
    <row r="22" spans="1:6" x14ac:dyDescent="0.25">
      <c r="A22" s="27" t="s">
        <v>118</v>
      </c>
      <c r="B22" s="28">
        <f>(B19-B17)/B19</f>
        <v>0.42857142857142855</v>
      </c>
      <c r="C22" s="12"/>
      <c r="D22" s="12"/>
      <c r="E22" s="12"/>
      <c r="F22" s="12"/>
    </row>
    <row r="23" spans="1:6" x14ac:dyDescent="0.25">
      <c r="A23" s="12"/>
      <c r="B23" s="12"/>
      <c r="C23" s="12"/>
      <c r="D23" s="12"/>
      <c r="E23" s="12"/>
      <c r="F23" s="12"/>
    </row>
    <row r="24" spans="1:6" x14ac:dyDescent="0.25">
      <c r="A24" s="29" t="s">
        <v>119</v>
      </c>
      <c r="B24" s="29" t="s">
        <v>75</v>
      </c>
      <c r="C24" s="29" t="s">
        <v>120</v>
      </c>
      <c r="D24" s="29" t="s">
        <v>61</v>
      </c>
      <c r="E24" s="12"/>
      <c r="F24" s="12"/>
    </row>
    <row r="25" spans="1:6" ht="27.6" x14ac:dyDescent="0.25">
      <c r="A25" s="12" t="s">
        <v>121</v>
      </c>
      <c r="B25" s="12" t="s">
        <v>122</v>
      </c>
      <c r="C25" s="12" t="s">
        <v>123</v>
      </c>
      <c r="D25" s="12" t="s">
        <v>124</v>
      </c>
      <c r="E25" s="12"/>
      <c r="F25" s="12"/>
    </row>
    <row r="26" spans="1:6" ht="27.6" x14ac:dyDescent="0.25">
      <c r="A26" s="12" t="s">
        <v>125</v>
      </c>
      <c r="B26" s="12" t="s">
        <v>126</v>
      </c>
      <c r="C26" s="12" t="s">
        <v>127</v>
      </c>
      <c r="D26" s="12" t="s">
        <v>128</v>
      </c>
      <c r="E26" s="12"/>
      <c r="F26" s="12"/>
    </row>
    <row r="27" spans="1:6" x14ac:dyDescent="0.25">
      <c r="A27" s="12"/>
      <c r="B27" s="12"/>
      <c r="C27" s="12"/>
      <c r="D27" s="12"/>
      <c r="E27" s="12"/>
      <c r="F27" s="12"/>
    </row>
    <row r="28" spans="1:6" x14ac:dyDescent="0.25">
      <c r="A28" s="12"/>
      <c r="B28" s="12"/>
      <c r="C28" s="12"/>
      <c r="D28" s="12"/>
      <c r="E28" s="12"/>
      <c r="F28" s="12"/>
    </row>
    <row r="29" spans="1:6" x14ac:dyDescent="0.25">
      <c r="A29" s="30" t="s">
        <v>129</v>
      </c>
      <c r="B29" s="30" t="s">
        <v>130</v>
      </c>
      <c r="C29" s="30" t="s">
        <v>131</v>
      </c>
      <c r="D29" s="30" t="s">
        <v>132</v>
      </c>
      <c r="E29" s="30" t="s">
        <v>133</v>
      </c>
      <c r="F29" s="12"/>
    </row>
    <row r="30" spans="1:6" x14ac:dyDescent="0.25">
      <c r="A30" s="31">
        <v>1</v>
      </c>
      <c r="B30" s="17">
        <f>สมมติฐาน!B4/สมมติฐาน!B5*สมมติฐาน!B7/A30</f>
        <v>3269.2307692307691</v>
      </c>
      <c r="C30" s="17">
        <f>$B$17-$B$5+B30</f>
        <v>3705.9230769230767</v>
      </c>
      <c r="D30" s="17">
        <f>C30*(1+สมมติฐาน!B12)</f>
        <v>6485.3653846153838</v>
      </c>
      <c r="E30" s="17">
        <f>ROUNDUP(D30,-2)-10</f>
        <v>6490</v>
      </c>
      <c r="F30" s="12"/>
    </row>
    <row r="31" spans="1:6" x14ac:dyDescent="0.25">
      <c r="A31" s="31">
        <v>5</v>
      </c>
      <c r="B31" s="17">
        <f>สมมติฐาน!B4/สมมติฐาน!B5*สมมติฐาน!B7/A31</f>
        <v>653.84615384615381</v>
      </c>
      <c r="C31" s="17">
        <f>$B$17-$B$5+B31</f>
        <v>1090.5384615384614</v>
      </c>
      <c r="D31" s="17">
        <f>C31*(1+สมมติฐาน!B12)</f>
        <v>1908.4423076923076</v>
      </c>
      <c r="E31" s="17">
        <f>ROUNDUP(D31,-2)-10</f>
        <v>1990</v>
      </c>
      <c r="F31" s="12"/>
    </row>
    <row r="32" spans="1:6" x14ac:dyDescent="0.25">
      <c r="A32" s="32">
        <v>10</v>
      </c>
      <c r="B32" s="33">
        <f>สมมติฐาน!B4/สมมติฐาน!B5*สมมติฐาน!B7/A32</f>
        <v>326.92307692307691</v>
      </c>
      <c r="C32" s="33">
        <f>$B$17-$B$5+B32</f>
        <v>763.61538461538453</v>
      </c>
      <c r="D32" s="33">
        <f>C32*(1+สมมติฐาน!B12)</f>
        <v>1336.3269230769229</v>
      </c>
      <c r="E32" s="33">
        <f>ROUNDUP(D32,-2)-10</f>
        <v>1390</v>
      </c>
      <c r="F32" s="12"/>
    </row>
    <row r="33" spans="1:6" x14ac:dyDescent="0.25">
      <c r="A33" s="31">
        <v>20</v>
      </c>
      <c r="B33" s="17">
        <f>สมมติฐาน!B4/สมมติฐาน!B5*สมมติฐาน!B7/A33</f>
        <v>163.46153846153845</v>
      </c>
      <c r="C33" s="17">
        <f>$B$17-$B$5+B33</f>
        <v>600.15384615384608</v>
      </c>
      <c r="D33" s="17">
        <f>C33*(1+สมมติฐาน!B12)</f>
        <v>1050.2692307692307</v>
      </c>
      <c r="E33" s="17">
        <f>ROUNDUP(D33,-2)-10</f>
        <v>1090</v>
      </c>
      <c r="F33" s="12"/>
    </row>
    <row r="34" spans="1:6" x14ac:dyDescent="0.25">
      <c r="A34" s="31">
        <v>50</v>
      </c>
      <c r="B34" s="17">
        <f>สมมติฐาน!B4/สมมติฐาน!B5*สมมติฐาน!B7/A34</f>
        <v>65.384615384615387</v>
      </c>
      <c r="C34" s="17">
        <f>$B$17-$B$5+B34</f>
        <v>502.07692307692298</v>
      </c>
      <c r="D34" s="17">
        <f>C34*(1+สมมติฐาน!B12)</f>
        <v>878.63461538461524</v>
      </c>
      <c r="E34" s="17">
        <f>ROUNDUP(D34,-2)-10</f>
        <v>890</v>
      </c>
      <c r="F34" s="12"/>
    </row>
    <row r="35" spans="1:6" x14ac:dyDescent="0.25">
      <c r="A35" s="12"/>
      <c r="B35" s="12"/>
      <c r="C35" s="12"/>
      <c r="D35" s="12"/>
      <c r="E35" s="12"/>
      <c r="F35" s="12"/>
    </row>
    <row r="36" spans="1:6" x14ac:dyDescent="0.25">
      <c r="A36" s="12"/>
      <c r="B36" s="12"/>
      <c r="C36" s="12"/>
      <c r="D36" s="12"/>
      <c r="E36" s="12"/>
      <c r="F36" s="12"/>
    </row>
    <row r="37" spans="1:6" x14ac:dyDescent="0.25">
      <c r="A37" s="47" t="s">
        <v>134</v>
      </c>
      <c r="B37" s="47"/>
      <c r="C37" s="47"/>
      <c r="D37" s="47"/>
      <c r="E37" s="47"/>
      <c r="F37" s="47"/>
    </row>
    <row r="38" spans="1:6" x14ac:dyDescent="0.25">
      <c r="A38" s="48" t="s">
        <v>135</v>
      </c>
      <c r="B38" s="48"/>
      <c r="C38" s="48"/>
      <c r="D38" s="48"/>
      <c r="E38" s="48"/>
      <c r="F38" s="48"/>
    </row>
    <row r="39" spans="1:6" x14ac:dyDescent="0.25">
      <c r="A39" s="48"/>
      <c r="B39" s="48"/>
      <c r="C39" s="48"/>
      <c r="D39" s="48"/>
      <c r="E39" s="48"/>
      <c r="F39" s="48"/>
    </row>
    <row r="40" spans="1:6" x14ac:dyDescent="0.25">
      <c r="A40" s="48"/>
      <c r="B40" s="48"/>
      <c r="C40" s="48"/>
      <c r="D40" s="48"/>
      <c r="E40" s="48"/>
      <c r="F40" s="48"/>
    </row>
    <row r="41" spans="1:6" x14ac:dyDescent="0.25">
      <c r="A41" s="48"/>
      <c r="B41" s="48"/>
      <c r="C41" s="48"/>
      <c r="D41" s="48"/>
      <c r="E41" s="48"/>
      <c r="F41" s="48"/>
    </row>
    <row r="42" spans="1:6" x14ac:dyDescent="0.25">
      <c r="A42" s="12"/>
      <c r="B42" s="12"/>
      <c r="C42" s="12"/>
      <c r="D42" s="12"/>
      <c r="E42" s="12"/>
      <c r="F42" s="12"/>
    </row>
  </sheetData>
  <mergeCells count="3">
    <mergeCell ref="A1:F1"/>
    <mergeCell ref="A37:F37"/>
    <mergeCell ref="A38:F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สมมติฐาน</vt:lpstr>
      <vt:lpstr>คำนวณราคาขาย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Janhom Khamlu</cp:lastModifiedBy>
  <dcterms:modified xsi:type="dcterms:W3CDTF">2026-09-28T09:58:59Z</dcterms:modified>
</cp:coreProperties>
</file>